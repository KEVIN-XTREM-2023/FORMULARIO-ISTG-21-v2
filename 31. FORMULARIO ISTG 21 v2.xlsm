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taedu-my.sharepoint.com/personal/ksaquinga7013_uta_edu_ec/Documents/DOCUMENTOS/SEMESTRES/STALYN/PRODUCTO/"/>
    </mc:Choice>
  </mc:AlternateContent>
  <xr:revisionPtr revIDLastSave="24" documentId="13_ncr:1_{C1734B1A-EEF0-4788-A2FD-90B77F7E76F0}" xr6:coauthVersionLast="47" xr6:coauthVersionMax="47" xr10:uidLastSave="{CC27EADF-257A-4C19-85D0-1B723A990034}"/>
  <bookViews>
    <workbookView xWindow="-108" yWindow="-108" windowWidth="23256" windowHeight="12456" xr2:uid="{00000000-000D-0000-FFFF-FFFF00000000}"/>
  </bookViews>
  <sheets>
    <sheet name="INICIO" sheetId="1" r:id="rId1"/>
    <sheet name="BD" sheetId="2" r:id="rId2"/>
    <sheet name="TABLAS" sheetId="3" state="hidden" r:id="rId3"/>
    <sheet name="CODIGO" sheetId="4" state="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4" l="1"/>
  <c r="U13" i="2"/>
  <c r="N13" i="2"/>
  <c r="L13" i="2"/>
  <c r="J13" i="2"/>
  <c r="H13" i="2"/>
  <c r="F13" i="2"/>
  <c r="D13" i="2"/>
  <c r="U18" i="2"/>
  <c r="N18" i="2"/>
  <c r="L18" i="2"/>
  <c r="J18" i="2"/>
  <c r="H18" i="2"/>
  <c r="F18" i="2"/>
  <c r="D18" i="2"/>
  <c r="D22" i="2"/>
  <c r="D23" i="2"/>
  <c r="U16" i="2"/>
  <c r="U20" i="2"/>
  <c r="U21" i="2"/>
  <c r="U22" i="2"/>
  <c r="U23" i="2"/>
  <c r="N16" i="2"/>
  <c r="N20" i="2"/>
  <c r="N21" i="2"/>
  <c r="N22" i="2"/>
  <c r="N23" i="2"/>
  <c r="L16" i="2"/>
  <c r="L20" i="2"/>
  <c r="L21" i="2"/>
  <c r="L22" i="2"/>
  <c r="L23" i="2"/>
  <c r="J16" i="2"/>
  <c r="J20" i="2"/>
  <c r="J21" i="2"/>
  <c r="J22" i="2"/>
  <c r="J23" i="2"/>
  <c r="H16" i="2"/>
  <c r="H20" i="2"/>
  <c r="H21" i="2"/>
  <c r="H22" i="2"/>
  <c r="H23" i="2"/>
  <c r="F16" i="2"/>
  <c r="F20" i="2"/>
  <c r="F21" i="2"/>
  <c r="F22" i="2"/>
  <c r="F23" i="2"/>
  <c r="D16" i="2"/>
  <c r="D20" i="2"/>
  <c r="D21" i="2"/>
  <c r="B7" i="4" l="1"/>
</calcChain>
</file>

<file path=xl/sharedStrings.xml><?xml version="1.0" encoding="utf-8"?>
<sst xmlns="http://schemas.openxmlformats.org/spreadsheetml/2006/main" count="313" uniqueCount="134">
  <si>
    <t xml:space="preserve">FECHA </t>
  </si>
  <si>
    <t>DONANTE  1</t>
  </si>
  <si>
    <t>CI 1</t>
  </si>
  <si>
    <t>DONANTE  2</t>
  </si>
  <si>
    <t>CI2</t>
  </si>
  <si>
    <t>DONANTE  3</t>
  </si>
  <si>
    <t>CI3</t>
  </si>
  <si>
    <t>DONANTE  4</t>
  </si>
  <si>
    <t>CI4</t>
  </si>
  <si>
    <t>DONANTE  5</t>
  </si>
  <si>
    <t>CI5</t>
  </si>
  <si>
    <t>DONANTE  6</t>
  </si>
  <si>
    <t>CI6</t>
  </si>
  <si>
    <t xml:space="preserve">CARRERA </t>
  </si>
  <si>
    <t xml:space="preserve">DOCUMENTO FUENTE </t>
  </si>
  <si>
    <t>CÓDIGO</t>
  </si>
  <si>
    <t>NOMBRE DEL BIEN</t>
  </si>
  <si>
    <t>TIPO PRODUCTO</t>
  </si>
  <si>
    <t>ESTADO</t>
  </si>
  <si>
    <t xml:space="preserve">NÚMERO DE SERIE </t>
  </si>
  <si>
    <t>UBICACIÓN</t>
  </si>
  <si>
    <t xml:space="preserve">IMAGEN </t>
  </si>
  <si>
    <t>CARRERAS</t>
  </si>
  <si>
    <t>DOCUMENTO FUENTE</t>
  </si>
  <si>
    <t xml:space="preserve">TIPO DE PRODUCTO </t>
  </si>
  <si>
    <t>FACTURA</t>
  </si>
  <si>
    <t>NUEVO</t>
  </si>
  <si>
    <t>MÁQUINA</t>
  </si>
  <si>
    <t>ELECTRÓNICA</t>
  </si>
  <si>
    <t>FAC. ELECTRÓNICA</t>
  </si>
  <si>
    <t>USADO</t>
  </si>
  <si>
    <t>HERRAMIENTA</t>
  </si>
  <si>
    <t>MEC. INDUSTRIAL</t>
  </si>
  <si>
    <t>NOTA DE VENTA</t>
  </si>
  <si>
    <t>CON MEJORA</t>
  </si>
  <si>
    <t>MAQUINA HERRAMIENTA</t>
  </si>
  <si>
    <t>MEC. AUTOMOTRIZ</t>
  </si>
  <si>
    <t>ACTA NOTARIADA</t>
  </si>
  <si>
    <t>DISEÑO DE CALZADO</t>
  </si>
  <si>
    <t>NUMERO MAXIMO</t>
  </si>
  <si>
    <t>CODIGO</t>
  </si>
  <si>
    <t>COLUMNA</t>
  </si>
  <si>
    <t>ISTG_AMB_1</t>
  </si>
  <si>
    <t>C</t>
  </si>
  <si>
    <t>D</t>
  </si>
  <si>
    <t>E</t>
  </si>
  <si>
    <t>F</t>
  </si>
  <si>
    <t>STALYN</t>
  </si>
  <si>
    <t>PAUL</t>
  </si>
  <si>
    <t>LUIS</t>
  </si>
  <si>
    <t>ROBER</t>
  </si>
  <si>
    <t>MARCO</t>
  </si>
  <si>
    <t>MANUEL</t>
  </si>
  <si>
    <t>PEDRO</t>
  </si>
  <si>
    <t>JUAN</t>
  </si>
  <si>
    <t>MARIO</t>
  </si>
  <si>
    <t>ISTG01</t>
  </si>
  <si>
    <t>ISTG02</t>
  </si>
  <si>
    <t>ISTG03</t>
  </si>
  <si>
    <t>ISTG05</t>
  </si>
  <si>
    <t>ISTG08</t>
  </si>
  <si>
    <t>ISTG09</t>
  </si>
  <si>
    <t>ISTG10</t>
  </si>
  <si>
    <t>ISTG12</t>
  </si>
  <si>
    <t>ISTG13</t>
  </si>
  <si>
    <t>ISTG14</t>
  </si>
  <si>
    <t>ISTG15</t>
  </si>
  <si>
    <t>ISTG16</t>
  </si>
  <si>
    <t>ISTG17</t>
  </si>
  <si>
    <t>ISTG18</t>
  </si>
  <si>
    <t>ISTG19</t>
  </si>
  <si>
    <t xml:space="preserve"> </t>
  </si>
  <si>
    <t>ENRIQUE</t>
  </si>
  <si>
    <t>ANGEL</t>
  </si>
  <si>
    <t>MARCELO</t>
  </si>
  <si>
    <t>RENE</t>
  </si>
  <si>
    <t>IBARRA</t>
  </si>
  <si>
    <t>KEVIN</t>
  </si>
  <si>
    <t>EDUARDO</t>
  </si>
  <si>
    <t>PEPE</t>
  </si>
  <si>
    <t>EDGAR</t>
  </si>
  <si>
    <t>MARTA</t>
  </si>
  <si>
    <t>HUACHI</t>
  </si>
  <si>
    <t>INGAHURCO</t>
  </si>
  <si>
    <t>IZAMBA</t>
  </si>
  <si>
    <t>MARIA</t>
  </si>
  <si>
    <t>SOFTWARE</t>
  </si>
  <si>
    <t>PEDRO  xxx</t>
  </si>
  <si>
    <t>ISTG04</t>
  </si>
  <si>
    <t>ISTG20</t>
  </si>
  <si>
    <t>30/09/2022</t>
  </si>
  <si>
    <t>30/09/2023</t>
  </si>
  <si>
    <t>30/09/2024</t>
  </si>
  <si>
    <t>30/09/2028</t>
  </si>
  <si>
    <t>30/09/2029</t>
  </si>
  <si>
    <t>30/09/2030</t>
  </si>
  <si>
    <t>30/09/2032</t>
  </si>
  <si>
    <t>30/09/2033</t>
  </si>
  <si>
    <t>30/09/2034</t>
  </si>
  <si>
    <t>30/09/2035</t>
  </si>
  <si>
    <t>30/09/2036</t>
  </si>
  <si>
    <t>30/09/2037</t>
  </si>
  <si>
    <t>30/09/2039</t>
  </si>
  <si>
    <t>30/09/2040</t>
  </si>
  <si>
    <t>TI</t>
  </si>
  <si>
    <t>No existe imagen</t>
  </si>
  <si>
    <t>ISTG20.jpg</t>
  </si>
  <si>
    <t>ISTG13.jpg</t>
  </si>
  <si>
    <t>INDUSTRIAL</t>
  </si>
  <si>
    <t>ISTG19.jpg</t>
  </si>
  <si>
    <t>ISTG25</t>
  </si>
  <si>
    <t>SAQUINGA</t>
  </si>
  <si>
    <t>GUAMAN</t>
  </si>
  <si>
    <t>ERS</t>
  </si>
  <si>
    <t>ISTG18.jpg</t>
  </si>
  <si>
    <t>GALO</t>
  </si>
  <si>
    <t>ISTG05.jpg</t>
  </si>
  <si>
    <t>ISTG42</t>
  </si>
  <si>
    <t>PARLANTES</t>
  </si>
  <si>
    <t>ISTG08.jpg</t>
  </si>
  <si>
    <t>ELECTRICIDAD</t>
  </si>
  <si>
    <t>968XXX</t>
  </si>
  <si>
    <t xml:space="preserve">DPTO DE INGLES </t>
  </si>
  <si>
    <t>*********</t>
  </si>
  <si>
    <t>ITS60</t>
  </si>
  <si>
    <t>S</t>
  </si>
  <si>
    <t>Q</t>
  </si>
  <si>
    <t>G</t>
  </si>
  <si>
    <t>IZAM</t>
  </si>
  <si>
    <t>KEV</t>
  </si>
  <si>
    <t>SSAQQ</t>
  </si>
  <si>
    <t>15/09/2022</t>
  </si>
  <si>
    <t>STALYN GUAMAN</t>
  </si>
  <si>
    <t>PAULISTG15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</si>
</sst>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/m/yyyy"/>
  </numFmts>
  <fonts count="13" x14ac:knownFonts="1">
    <font>
      <sz val="11"/>
      <color theme="1"/>
      <name val="Calibri"/>
      <family val="2"/>
      <scheme val="minor"/>
    </font>
    <font>
      <b/>
      <sz val="14"/>
      <color theme="1"/>
      <name val="Arial Narrow"/>
      <family val="2"/>
    </font>
    <font>
      <sz val="11"/>
      <color rgb="FF000000"/>
      <name val="Arial Narrow"/>
      <family val="2"/>
    </font>
    <font>
      <b/>
      <sz val="14"/>
      <color rgb="FF000000"/>
      <name val="Arial Narrow"/>
      <family val="2"/>
    </font>
    <font>
      <sz val="12"/>
      <color rgb="FF000000"/>
      <name val="Arial Narrow"/>
      <family val="2"/>
    </font>
    <font>
      <sz val="14"/>
      <color rgb="FF000000"/>
      <name val="Arial Narrow"/>
      <family val="2"/>
    </font>
    <font>
      <sz val="11"/>
      <color theme="1"/>
      <name val="Calibri"/>
      <family val="2"/>
    </font>
    <font>
      <sz val="16"/>
      <color rgb="FF000000"/>
      <name val="Arial Narrow"/>
      <family val="2"/>
    </font>
    <font>
      <sz val="48"/>
      <color rgb="FF000000"/>
      <name val="Arial Narrow"/>
      <family val="2"/>
    </font>
    <font>
      <sz val="8"/>
      <name val="Calibri"/>
      <family val="2"/>
      <scheme val="minor"/>
    </font>
    <font>
      <b/>
      <sz val="24"/>
      <color rgb="FFFF0000"/>
      <name val="Calibri"/>
      <family val="2"/>
      <scheme val="minor"/>
    </font>
    <font>
      <sz val="14"/>
      <color theme="1"/>
      <name val="Arial Narrow"/>
      <family val="2"/>
    </font>
    <font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6" xfId="0" applyBorder="1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6" fillId="0" borderId="0" xfId="0" applyFont="1"/>
    <xf numFmtId="0" fontId="7" fillId="3" borderId="4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5" borderId="0" xfId="0" applyFill="1"/>
    <xf numFmtId="0" fontId="11" fillId="5" borderId="4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center" vertical="center"/>
    </xf>
    <xf numFmtId="14" fontId="11" fillId="5" borderId="5" xfId="0" applyNumberFormat="1" applyFont="1" applyFill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164" fontId="1" fillId="2" borderId="5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108"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Arial Narrow"/>
        <family val="2"/>
        <scheme val="none"/>
      </font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rgb="FF000000"/>
        <name val="Arial Narrow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rgb="FF000000"/>
        <name val="Arial Narrow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rgb="FF000000"/>
        <name val="Arial Narrow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rgb="FF000000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rgb="FF000000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2"/>
        <color rgb="FF000000"/>
        <name val="Arial Narrow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000000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rgb="FF000000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2"/>
        <color rgb="FF000000"/>
        <name val="Arial Narrow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color rgb="FF000000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164" formatCode="d/m/yyyy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70AD47"/>
        </top>
      </border>
    </dxf>
    <dxf>
      <font>
        <b/>
        <color rgb="FFFFFFFF"/>
      </font>
      <fill>
        <patternFill patternType="solid">
          <fgColor rgb="FF70AD47"/>
          <bgColor rgb="FF70AD47"/>
        </patternFill>
      </fill>
    </dxf>
    <dxf>
      <font>
        <color rgb="FF000000"/>
      </font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 patternType="solid">
          <fgColor rgb="FFFCE4D6"/>
          <bgColor rgb="FFFCE4D6"/>
        </patternFill>
      </fill>
    </dxf>
    <dxf>
      <fill>
        <patternFill patternType="solid">
          <fgColor rgb="FFFCE4D6"/>
          <bgColor rgb="FFFCE4D6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ED7D31"/>
        </top>
      </border>
    </dxf>
    <dxf>
      <font>
        <b/>
        <color rgb="FFFFFFFF"/>
      </font>
      <fill>
        <patternFill patternType="solid">
          <fgColor rgb="FFED7D31"/>
          <bgColor rgb="FFED7D31"/>
        </patternFill>
      </fill>
    </dxf>
    <dxf>
      <font>
        <color rgb="FF000000"/>
      </font>
      <border>
        <left style="thin">
          <color rgb="FFF4B084"/>
        </left>
        <right style="thin">
          <color rgb="FFF4B084"/>
        </right>
        <top style="thin">
          <color rgb="FFF4B084"/>
        </top>
        <bottom style="thin">
          <color rgb="FFF4B084"/>
        </bottom>
        <horizontal style="thin">
          <color rgb="FFF4B084"/>
        </horizontal>
      </border>
    </dxf>
    <dxf>
      <fill>
        <patternFill patternType="solid">
          <fgColor rgb="FFD9E1F2"/>
          <bgColor rgb="FFD9E1F2"/>
        </patternFill>
      </fill>
    </dxf>
    <dxf>
      <fill>
        <patternFill patternType="solid">
          <fgColor rgb="FFD9E1F2"/>
          <bgColor rgb="FFD9E1F2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472C4"/>
        </top>
      </border>
    </dxf>
    <dxf>
      <font>
        <b/>
        <color rgb="FFFFFFFF"/>
      </font>
      <fill>
        <patternFill patternType="solid">
          <fgColor rgb="FF4472C4"/>
          <bgColor rgb="FF4472C4"/>
        </patternFill>
      </fill>
    </dxf>
    <dxf>
      <font>
        <color rgb="FF000000"/>
      </font>
      <border>
        <left style="thin">
          <color rgb="FF8EA9DB"/>
        </left>
        <right style="thin">
          <color rgb="FF8EA9DB"/>
        </right>
        <top style="thin">
          <color rgb="FF8EA9DB"/>
        </top>
        <bottom style="thin">
          <color rgb="FF8EA9DB"/>
        </bottom>
        <horizontal style="thin">
          <color rgb="FF8EA9DB"/>
        </horizontal>
      </border>
    </dxf>
    <dxf>
      <fill>
        <patternFill patternType="solid">
          <fgColor rgb="FFD9E1F2"/>
          <bgColor rgb="FFD9E1F2"/>
        </patternFill>
      </fill>
    </dxf>
    <dxf>
      <fill>
        <patternFill patternType="solid">
          <fgColor rgb="FFD9E1F2"/>
          <bgColor rgb="FFD9E1F2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472C4"/>
        </top>
      </border>
    </dxf>
    <dxf>
      <font>
        <b/>
        <color rgb="FFFFFFFF"/>
      </font>
      <fill>
        <patternFill patternType="solid">
          <fgColor rgb="FF4472C4"/>
          <bgColor rgb="FF4472C4"/>
        </patternFill>
      </fill>
    </dxf>
    <dxf>
      <font>
        <color rgb="FF000000"/>
      </font>
      <border>
        <left style="thin">
          <color rgb="FF8EA9DB"/>
        </left>
        <right style="thin">
          <color rgb="FF8EA9DB"/>
        </right>
        <top style="thin">
          <color rgb="FF8EA9DB"/>
        </top>
        <bottom style="thin">
          <color rgb="FF8EA9DB"/>
        </bottom>
        <horizontal style="thin">
          <color rgb="FF8EA9DB"/>
        </horizontal>
      </border>
    </dxf>
    <dxf>
      <fill>
        <patternFill patternType="solid">
          <fgColor rgb="FFFFE699"/>
          <bgColor rgb="FFFFE699"/>
        </patternFill>
      </fill>
    </dxf>
    <dxf>
      <fill>
        <patternFill patternType="solid">
          <fgColor rgb="FFFFE699"/>
          <bgColor rgb="FFFFE699"/>
        </patternFill>
      </fill>
    </dxf>
    <dxf>
      <font>
        <b/>
        <color rgb="FFFFFFFF"/>
      </font>
      <fill>
        <patternFill patternType="solid">
          <fgColor rgb="FFFFC000"/>
          <bgColor rgb="FFFFC000"/>
        </patternFill>
      </fill>
    </dxf>
    <dxf>
      <font>
        <b/>
        <color rgb="FFFFFFFF"/>
      </font>
      <fill>
        <patternFill patternType="solid">
          <fgColor rgb="FFFFC000"/>
          <bgColor rgb="FFFFC000"/>
        </patternFill>
      </fill>
    </dxf>
    <dxf>
      <font>
        <b/>
        <color rgb="FFFFFFFF"/>
      </font>
      <fill>
        <patternFill patternType="solid">
          <fgColor rgb="FFFFC000"/>
          <bgColor rgb="FFFFC000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FFC000"/>
          <bgColor rgb="FFFFC000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FFF2CC"/>
          <bgColor rgb="FFFFF2CC"/>
        </patternFill>
      </fill>
      <border>
        <vertical style="thin">
          <color rgb="FFFFFFFF"/>
        </vertical>
        <horizontal style="thin">
          <color rgb="FFFFFFFF"/>
        </horizontal>
      </border>
    </dxf>
  </dxfs>
  <tableStyles count="5" defaultTableStyle="TableStyleMedium2" defaultPivotStyle="PivotStyleLight16">
    <tableStyle name="TableStyleMedium12 2" pivot="0" count="7" xr9:uid="{00000000-0011-0000-FFFF-FFFF00000000}">
      <tableStyleElement type="wholeTable" dxfId="107"/>
      <tableStyleElement type="headerRow" dxfId="106"/>
      <tableStyleElement type="totalRow" dxfId="105"/>
      <tableStyleElement type="firstColumn" dxfId="104"/>
      <tableStyleElement type="lastColumn" dxfId="103"/>
      <tableStyleElement type="firstRowStripe" dxfId="102"/>
      <tableStyleElement type="firstColumnStripe" dxfId="101"/>
    </tableStyle>
    <tableStyle name="TableStyleMedium2 2" pivot="0" count="7" xr9:uid="{00000000-0011-0000-FFFF-FFFF01000000}">
      <tableStyleElement type="wholeTable" dxfId="100"/>
      <tableStyleElement type="headerRow" dxfId="99"/>
      <tableStyleElement type="totalRow" dxfId="98"/>
      <tableStyleElement type="firstColumn" dxfId="97"/>
      <tableStyleElement type="lastColumn" dxfId="96"/>
      <tableStyleElement type="firstRowStripe" dxfId="95"/>
      <tableStyleElement type="firstColumnStripe" dxfId="94"/>
    </tableStyle>
    <tableStyle name="TableStyleMedium2 3" pivot="0" count="7" xr9:uid="{00000000-0011-0000-FFFF-FFFF02000000}">
      <tableStyleElement type="wholeTable" dxfId="93"/>
      <tableStyleElement type="headerRow" dxfId="92"/>
      <tableStyleElement type="totalRow" dxfId="91"/>
      <tableStyleElement type="firstColumn" dxfId="90"/>
      <tableStyleElement type="lastColumn" dxfId="89"/>
      <tableStyleElement type="firstRowStripe" dxfId="88"/>
      <tableStyleElement type="firstColumnStripe" dxfId="87"/>
    </tableStyle>
    <tableStyle name="TableStyleMedium3 2" pivot="0" count="7" xr9:uid="{00000000-0011-0000-FFFF-FFFF03000000}">
      <tableStyleElement type="wholeTable" dxfId="86"/>
      <tableStyleElement type="headerRow" dxfId="85"/>
      <tableStyleElement type="totalRow" dxfId="84"/>
      <tableStyleElement type="firstColumn" dxfId="83"/>
      <tableStyleElement type="lastColumn" dxfId="82"/>
      <tableStyleElement type="firstRowStripe" dxfId="81"/>
      <tableStyleElement type="firstColumnStripe" dxfId="80"/>
    </tableStyle>
    <tableStyle name="TableStyleMedium7 2" pivot="0" count="7" xr9:uid="{00000000-0011-0000-FFFF-FFFF04000000}">
      <tableStyleElement type="wholeTable" dxfId="79"/>
      <tableStyleElement type="headerRow" dxfId="78"/>
      <tableStyleElement type="totalRow" dxfId="77"/>
      <tableStyleElement type="firstColumn" dxfId="76"/>
      <tableStyleElement type="lastColumn" dxfId="75"/>
      <tableStyleElement type="firstRowStripe" dxfId="74"/>
      <tableStyleElement type="firstColumnStripe" dxfId="73"/>
    </tableStyle>
  </tableStyles>
  <colors>
    <mruColors>
      <color rgb="FFCCECFF"/>
      <color rgb="FF99CCFF"/>
      <color rgb="FFD4FC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png"/><Relationship Id="rId7" Type="http://schemas.openxmlformats.org/officeDocument/2006/relationships/image" Target="../media/image7.jpg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272820</xdr:colOff>
      <xdr:row>15</xdr:row>
      <xdr:rowOff>96865</xdr:rowOff>
    </xdr:from>
    <xdr:to>
      <xdr:col>15</xdr:col>
      <xdr:colOff>613474</xdr:colOff>
      <xdr:row>40</xdr:row>
      <xdr:rowOff>34636</xdr:rowOff>
    </xdr:to>
    <xdr:sp macro="[0]!LLAMAR" textlink="">
      <xdr:nvSpPr>
        <xdr:cNvPr id="2" name="Flecha: a la derecha 1">
          <a:extLst>
            <a:ext uri="{FF2B5EF4-FFF2-40B4-BE49-F238E27FC236}">
              <a16:creationId xmlns:a16="http://schemas.microsoft.com/office/drawing/2014/main" id="{675EE1F9-6699-4A5A-B35D-73FA233D7516}"/>
            </a:ext>
          </a:extLst>
        </xdr:cNvPr>
        <xdr:cNvSpPr/>
      </xdr:nvSpPr>
      <xdr:spPr>
        <a:xfrm>
          <a:off x="1031591" y="3002797"/>
          <a:ext cx="10963451" cy="4780992"/>
        </a:xfrm>
        <a:prstGeom prst="rightArrow">
          <a:avLst>
            <a:gd name="adj1" fmla="val 50000"/>
            <a:gd name="adj2" fmla="val 63845"/>
          </a:avLst>
        </a:prstGeom>
        <a:solidFill>
          <a:schemeClr val="accent5"/>
        </a:solidFill>
        <a:ln>
          <a:solidFill>
            <a:schemeClr val="accent5">
              <a:lumMod val="20000"/>
              <a:lumOff val="80000"/>
            </a:schemeClr>
          </a:solidFill>
        </a:ln>
        <a:effectLst>
          <a:glow rad="228600">
            <a:schemeClr val="accent5">
              <a:satMod val="175000"/>
              <a:alpha val="40000"/>
            </a:schemeClr>
          </a:glow>
          <a:outerShdw blurRad="76200" dir="13500000" sy="23000" kx="1200000" algn="b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4800">
              <a:latin typeface="Arial Narrow" panose="020B0606020202030204" pitchFamily="34" charset="0"/>
            </a:rPr>
            <a:t>INICIO </a:t>
          </a:r>
          <a:br>
            <a:rPr lang="es-EC" sz="4800">
              <a:latin typeface="Arial Narrow" panose="020B0606020202030204" pitchFamily="34" charset="0"/>
            </a:rPr>
          </a:br>
          <a:r>
            <a:rPr lang="es-EC" sz="4800">
              <a:latin typeface="Arial Narrow" panose="020B0606020202030204" pitchFamily="34" charset="0"/>
            </a:rPr>
            <a:t>DE</a:t>
          </a:r>
          <a:br>
            <a:rPr lang="es-EC" sz="4800">
              <a:latin typeface="Arial Narrow" panose="020B0606020202030204" pitchFamily="34" charset="0"/>
            </a:rPr>
          </a:br>
          <a:r>
            <a:rPr lang="es-EC" sz="4800">
              <a:latin typeface="Arial Narrow" panose="020B0606020202030204" pitchFamily="34" charset="0"/>
            </a:rPr>
            <a:t>REGISTRO</a:t>
          </a:r>
        </a:p>
        <a:p>
          <a:pPr algn="l"/>
          <a:endParaRPr lang="es-EC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24</xdr:col>
      <xdr:colOff>519545</xdr:colOff>
      <xdr:row>14</xdr:row>
      <xdr:rowOff>51955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80F20E46-3BD1-40DD-8BD8-BD53D1AE4F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807545" cy="2718955"/>
        </a:xfrm>
        <a:prstGeom prst="rect">
          <a:avLst/>
        </a:prstGeom>
      </xdr:spPr>
    </xdr:pic>
    <xdr:clientData/>
  </xdr:twoCellAnchor>
  <xdr:twoCellAnchor editAs="oneCell">
    <xdr:from>
      <xdr:col>22</xdr:col>
      <xdr:colOff>341960</xdr:colOff>
      <xdr:row>0</xdr:row>
      <xdr:rowOff>109246</xdr:rowOff>
    </xdr:from>
    <xdr:to>
      <xdr:col>24</xdr:col>
      <xdr:colOff>502227</xdr:colOff>
      <xdr:row>8</xdr:row>
      <xdr:rowOff>138545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9C68C62A-D79B-4160-8EF2-741FAF4DCF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136" t="8020" r="4189" b="11988"/>
        <a:stretch/>
      </xdr:blipFill>
      <xdr:spPr>
        <a:xfrm>
          <a:off x="17105960" y="109246"/>
          <a:ext cx="1684267" cy="1553299"/>
        </a:xfrm>
        <a:prstGeom prst="rect">
          <a:avLst/>
        </a:prstGeom>
      </xdr:spPr>
    </xdr:pic>
    <xdr:clientData/>
  </xdr:twoCellAnchor>
  <xdr:twoCellAnchor editAs="oneCell">
    <xdr:from>
      <xdr:col>22</xdr:col>
      <xdr:colOff>423564</xdr:colOff>
      <xdr:row>32</xdr:row>
      <xdr:rowOff>161441</xdr:rowOff>
    </xdr:from>
    <xdr:to>
      <xdr:col>25</xdr:col>
      <xdr:colOff>0</xdr:colOff>
      <xdr:row>41</xdr:row>
      <xdr:rowOff>144288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E7521A48-9EA2-4F43-A71A-D2C47820B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87564" y="6257441"/>
          <a:ext cx="1862436" cy="1697347"/>
        </a:xfrm>
        <a:prstGeom prst="rect">
          <a:avLst/>
        </a:prstGeom>
      </xdr:spPr>
    </xdr:pic>
    <xdr:clientData/>
  </xdr:twoCellAnchor>
  <xdr:twoCellAnchor editAs="oneCell">
    <xdr:from>
      <xdr:col>17</xdr:col>
      <xdr:colOff>650458</xdr:colOff>
      <xdr:row>6</xdr:row>
      <xdr:rowOff>94491</xdr:rowOff>
    </xdr:from>
    <xdr:to>
      <xdr:col>20</xdr:col>
      <xdr:colOff>51955</xdr:colOff>
      <xdr:row>14</xdr:row>
      <xdr:rowOff>109235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B5912383-DC6B-41DD-A4CE-38F6F5BB0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04458" y="1237491"/>
          <a:ext cx="1687497" cy="1538744"/>
        </a:xfrm>
        <a:prstGeom prst="rect">
          <a:avLst/>
        </a:prstGeom>
      </xdr:spPr>
    </xdr:pic>
    <xdr:clientData/>
  </xdr:twoCellAnchor>
  <xdr:twoCellAnchor editAs="oneCell">
    <xdr:from>
      <xdr:col>26</xdr:col>
      <xdr:colOff>467296</xdr:colOff>
      <xdr:row>24</xdr:row>
      <xdr:rowOff>32514</xdr:rowOff>
    </xdr:from>
    <xdr:to>
      <xdr:col>28</xdr:col>
      <xdr:colOff>730978</xdr:colOff>
      <xdr:row>32</xdr:row>
      <xdr:rowOff>138546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1EE2DF74-A2F4-427B-AB1D-156A012C6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79296" y="4604514"/>
          <a:ext cx="1787682" cy="1630032"/>
        </a:xfrm>
        <a:prstGeom prst="rect">
          <a:avLst/>
        </a:prstGeom>
      </xdr:spPr>
    </xdr:pic>
    <xdr:clientData/>
  </xdr:twoCellAnchor>
  <xdr:twoCellAnchor editAs="oneCell">
    <xdr:from>
      <xdr:col>27</xdr:col>
      <xdr:colOff>38748</xdr:colOff>
      <xdr:row>7</xdr:row>
      <xdr:rowOff>57066</xdr:rowOff>
    </xdr:from>
    <xdr:to>
      <xdr:col>29</xdr:col>
      <xdr:colOff>277092</xdr:colOff>
      <xdr:row>15</xdr:row>
      <xdr:rowOff>138546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29517F0C-E7D5-48C3-ACD3-364C07072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12748" y="1390566"/>
          <a:ext cx="1762344" cy="1605480"/>
        </a:xfrm>
        <a:prstGeom prst="rect">
          <a:avLst/>
        </a:prstGeom>
      </xdr:spPr>
    </xdr:pic>
    <xdr:clientData/>
  </xdr:twoCellAnchor>
  <xdr:twoCellAnchor editAs="oneCell">
    <xdr:from>
      <xdr:col>17</xdr:col>
      <xdr:colOff>722082</xdr:colOff>
      <xdr:row>24</xdr:row>
      <xdr:rowOff>101560</xdr:rowOff>
    </xdr:from>
    <xdr:to>
      <xdr:col>20</xdr:col>
      <xdr:colOff>259450</xdr:colOff>
      <xdr:row>32</xdr:row>
      <xdr:rowOff>103909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F80E036F-8411-4A23-9923-6A9220849F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76082" y="4673560"/>
          <a:ext cx="1823368" cy="1526349"/>
        </a:xfrm>
        <a:prstGeom prst="rect">
          <a:avLst/>
        </a:prstGeom>
      </xdr:spPr>
    </xdr:pic>
    <xdr:clientData/>
  </xdr:twoCellAnchor>
  <xdr:twoCellAnchor editAs="oneCell">
    <xdr:from>
      <xdr:col>21</xdr:col>
      <xdr:colOff>37865</xdr:colOff>
      <xdr:row>10</xdr:row>
      <xdr:rowOff>111834</xdr:rowOff>
    </xdr:from>
    <xdr:to>
      <xdr:col>26</xdr:col>
      <xdr:colOff>5577</xdr:colOff>
      <xdr:row>29</xdr:row>
      <xdr:rowOff>189326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BB4B4362-BC90-4906-A001-8D284ECC73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39865" y="2016834"/>
          <a:ext cx="3777712" cy="36969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16421</xdr:rowOff>
    </xdr:from>
    <xdr:to>
      <xdr:col>21</xdr:col>
      <xdr:colOff>1714031</xdr:colOff>
      <xdr:row>5</xdr:row>
      <xdr:rowOff>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B08308BE-5CBD-4231-8D38-1B1DB9375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421"/>
          <a:ext cx="40514095" cy="408918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REGISTRO" displayName="REGISTRO" ref="A6:V26" headerRowDxfId="72" headerRowBorderDxfId="71" tableBorderDxfId="70" totalsRowBorderDxfId="69">
  <autoFilter ref="A6:V26" xr:uid="{00000000-0009-0000-0100-000001000000}"/>
  <tableColumns count="22">
    <tableColumn id="1" xr3:uid="{00000000-0010-0000-0000-000001000000}" name="CÓDIGO" totalsRowLabel="Total" dataDxfId="68" totalsRowDxfId="67"/>
    <tableColumn id="2" xr3:uid="{00000000-0010-0000-0000-000002000000}" name="DONANTE  1" dataDxfId="66" totalsRowDxfId="65"/>
    <tableColumn id="3" xr3:uid="{00000000-0010-0000-0000-000003000000}" name="CI 1" dataDxfId="64" totalsRowDxfId="63"/>
    <tableColumn id="4" xr3:uid="{00000000-0010-0000-0000-000004000000}" name="DONANTE  2" dataDxfId="62" totalsRowDxfId="61">
      <calculatedColumnFormula xml:space="preserve"> IF(RANDBETWEEN(1,3)= 1,"KEVIN",IF(RANDBETWEEN(1,3) = 2, "GALO","ENRIQUE"))</calculatedColumnFormula>
    </tableColumn>
    <tableColumn id="5" xr3:uid="{00000000-0010-0000-0000-000005000000}" name="CI2" dataDxfId="60" totalsRowDxfId="59"/>
    <tableColumn id="6" xr3:uid="{00000000-0010-0000-0000-000006000000}" name="DONANTE  3" dataDxfId="58" totalsRowDxfId="57">
      <calculatedColumnFormula xml:space="preserve"> IF(RANDBETWEEN(1,3)= 1,"EDGAR",IF(RANDBETWEEN(1,3) = 2, "JUAN","MARCO"))</calculatedColumnFormula>
    </tableColumn>
    <tableColumn id="7" xr3:uid="{00000000-0010-0000-0000-000007000000}" name="CI3" dataDxfId="56" totalsRowDxfId="55"/>
    <tableColumn id="8" xr3:uid="{00000000-0010-0000-0000-000008000000}" name="DONANTE  4" dataDxfId="54" totalsRowDxfId="53">
      <calculatedColumnFormula xml:space="preserve"> IF(RANDBETWEEN(1,3)= 1,"ANGEL",IF(RANDBETWEEN(1,3) = 2, "RENE","LUIS"))</calculatedColumnFormula>
    </tableColumn>
    <tableColumn id="9" xr3:uid="{00000000-0010-0000-0000-000009000000}" name="CI4" dataDxfId="52" totalsRowDxfId="51"/>
    <tableColumn id="10" xr3:uid="{00000000-0010-0000-0000-00000A000000}" name="DONANTE  5" dataDxfId="50" totalsRowDxfId="49">
      <calculatedColumnFormula xml:space="preserve"> IF(RANDBETWEEN(1,3)= 1,"MARTA",IF(RANDBETWEEN(1,3) = 2, "MARIA","IBARRA"))</calculatedColumnFormula>
    </tableColumn>
    <tableColumn id="11" xr3:uid="{00000000-0010-0000-0000-00000B000000}" name="CI5" dataDxfId="48" totalsRowDxfId="47"/>
    <tableColumn id="12" xr3:uid="{00000000-0010-0000-0000-00000C000000}" name="DONANTE  6" dataDxfId="46" totalsRowDxfId="45">
      <calculatedColumnFormula xml:space="preserve"> IF(RANDBETWEEN(1,3)= 1,"MARCELO",IF(RANDBETWEEN(1,3) = 2, "PEPE","EDUARDO"))</calculatedColumnFormula>
    </tableColumn>
    <tableColumn id="13" xr3:uid="{00000000-0010-0000-0000-00000D000000}" name="CI6" dataDxfId="44" totalsRowDxfId="43"/>
    <tableColumn id="14" xr3:uid="{00000000-0010-0000-0000-00000E000000}" name="CARRERA " dataDxfId="42" totalsRowDxfId="41">
      <calculatedColumnFormula xml:space="preserve"> IF(RANDBETWEEN(1,3)= 1,"TI",IF(RANDBETWEEN(1,3) = 2, "SOFTWARE","INDUSTRIAL"))</calculatedColumnFormula>
    </tableColumn>
    <tableColumn id="15" xr3:uid="{00000000-0010-0000-0000-00000F000000}" name="DOCUMENTO FUENTE " dataDxfId="40" totalsRowDxfId="39"/>
    <tableColumn id="23" xr3:uid="{2F0F080D-B580-45B5-89A7-A342D8149D1B}" name="FECHA " dataDxfId="38" totalsRowDxfId="37">
      <calculatedColumnFormula>TODAY()-5</calculatedColumnFormula>
    </tableColumn>
    <tableColumn id="17" xr3:uid="{00000000-0010-0000-0000-000011000000}" name="NOMBRE DEL BIEN" dataDxfId="36" totalsRowDxfId="35"/>
    <tableColumn id="18" xr3:uid="{00000000-0010-0000-0000-000012000000}" name="TIPO PRODUCTO" dataDxfId="34" totalsRowDxfId="33"/>
    <tableColumn id="19" xr3:uid="{00000000-0010-0000-0000-000013000000}" name="ESTADO" dataDxfId="32" totalsRowDxfId="31"/>
    <tableColumn id="20" xr3:uid="{00000000-0010-0000-0000-000014000000}" name="NÚMERO DE SERIE " dataDxfId="30" totalsRowDxfId="29"/>
    <tableColumn id="21" xr3:uid="{00000000-0010-0000-0000-000015000000}" name="UBICACIÓN" dataDxfId="28" totalsRowDxfId="27">
      <calculatedColumnFormula xml:space="preserve"> IF(RANDBETWEEN(1,3)= 1,"IZAMBA",IF(RANDBETWEEN(1,3) = 2, "HUACHI","INGAHURCO"))</calculatedColumnFormula>
    </tableColumn>
    <tableColumn id="22" xr3:uid="{00000000-0010-0000-0000-000016000000}" name="IMAGEN " totalsRowFunction="count" dataDxfId="26" totalsRowDxfId="25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CARRERAS" displayName="CARRERAS" ref="B4:B9" totalsRowShown="0" headerRowDxfId="24" dataDxfId="22" headerRowBorderDxfId="23">
  <autoFilter ref="B4:B9" xr:uid="{00000000-0009-0000-0100-000006000000}"/>
  <tableColumns count="1">
    <tableColumn id="1" xr3:uid="{00000000-0010-0000-0100-000001000000}" name="CARRERAS" dataDxfId="21"/>
  </tableColumns>
  <tableStyleInfo name="TableStyleMedium2 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TIPODEDOCUMENTO" displayName="TIPODEDOCUMENTO" ref="D4:D8" totalsRowShown="0" headerRowDxfId="20" dataDxfId="18" headerRowBorderDxfId="19" tableBorderDxfId="17" totalsRowBorderDxfId="16">
  <autoFilter ref="D4:D8" xr:uid="{00000000-0009-0000-0100-000007000000}"/>
  <tableColumns count="1">
    <tableColumn id="1" xr3:uid="{00000000-0010-0000-0200-000001000000}" name="DOCUMENTO FUENTE" dataDxfId="15"/>
  </tableColumns>
  <tableStyleInfo name="TableStyleMedium7 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3000000}" name="ESTADO" displayName="ESTADO" ref="F4:F7" totalsRowShown="0" headerRowDxfId="14" dataDxfId="12" headerRowBorderDxfId="13" tableBorderDxfId="11" totalsRowBorderDxfId="10">
  <autoFilter ref="F4:F7" xr:uid="{00000000-0009-0000-0100-000008000000}"/>
  <tableColumns count="1">
    <tableColumn id="1" xr3:uid="{00000000-0010-0000-0300-000001000000}" name="ESTADO" dataDxfId="9"/>
  </tableColumns>
  <tableStyleInfo name="TableStyleMedium3 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4000000}" name="TIPODEPRODUCTO" displayName="TIPODEPRODUCTO" ref="H4:H7" totalsRowShown="0" headerRowDxfId="8" dataDxfId="6" headerRowBorderDxfId="7" tableBorderDxfId="5">
  <autoFilter ref="H4:H7" xr:uid="{00000000-0009-0000-0100-000009000000}"/>
  <tableColumns count="1">
    <tableColumn id="1" xr3:uid="{00000000-0010-0000-0400-000001000000}" name="TIPO DE PRODUCTO " dataDxfId="4"/>
  </tableColumns>
  <tableStyleInfo name="TableStyleMedium12 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5000000}" name="CODIGO" displayName="CODIGO" ref="B9:C23" totalsRowShown="0" headerRowDxfId="3" dataDxfId="2">
  <autoFilter ref="B9:C23" xr:uid="{00000000-0009-0000-0100-00000B000000}"/>
  <tableColumns count="2">
    <tableColumn id="1" xr3:uid="{00000000-0010-0000-0500-000001000000}" name="CODIGO" dataDxfId="1"/>
    <tableColumn id="2" xr3:uid="{00000000-0010-0000-0500-000002000000}" name="COLUMNA" dataDxfId="0">
      <calculatedColumnFormula>_xlfn.NUMBERVALUE(MID(B10,FIND("_",B10,9)+1,4))</calculatedColumnFormula>
    </tableColumn>
  </tableColumns>
  <tableStyleInfo name="TableStyleMedium2 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G48"/>
  <sheetViews>
    <sheetView tabSelected="1" zoomScale="55" zoomScaleNormal="55" workbookViewId="0">
      <selection activeCell="J17" sqref="J17"/>
    </sheetView>
  </sheetViews>
  <sheetFormatPr baseColWidth="10" defaultRowHeight="14.4" x14ac:dyDescent="0.3"/>
  <sheetData>
    <row r="1" spans="1:33" x14ac:dyDescent="0.3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33" x14ac:dyDescent="0.3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</row>
    <row r="3" spans="1:33" x14ac:dyDescent="0.3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</row>
    <row r="4" spans="1:33" x14ac:dyDescent="0.3">
      <c r="A4" s="26"/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</row>
    <row r="5" spans="1:33" x14ac:dyDescent="0.3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</row>
    <row r="6" spans="1:33" x14ac:dyDescent="0.3">
      <c r="A6" s="26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</row>
    <row r="7" spans="1:33" x14ac:dyDescent="0.3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x14ac:dyDescent="0.3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</row>
    <row r="9" spans="1:33" x14ac:dyDescent="0.3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</row>
    <row r="10" spans="1:33" x14ac:dyDescent="0.3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</row>
    <row r="11" spans="1:33" x14ac:dyDescent="0.3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</row>
    <row r="12" spans="1:33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x14ac:dyDescent="0.3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</row>
    <row r="14" spans="1:33" x14ac:dyDescent="0.3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</row>
    <row r="15" spans="1:33" x14ac:dyDescent="0.3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</row>
    <row r="16" spans="1:33" x14ac:dyDescent="0.3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</row>
    <row r="17" spans="1:33" x14ac:dyDescent="0.3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</row>
    <row r="18" spans="1:33" x14ac:dyDescent="0.3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</row>
    <row r="19" spans="1:33" x14ac:dyDescent="0.3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</row>
    <row r="20" spans="1:33" x14ac:dyDescent="0.3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</row>
    <row r="21" spans="1:33" x14ac:dyDescent="0.3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</row>
    <row r="22" spans="1:33" x14ac:dyDescent="0.3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</row>
    <row r="23" spans="1:33" x14ac:dyDescent="0.3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</row>
    <row r="24" spans="1:33" x14ac:dyDescent="0.3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</row>
    <row r="25" spans="1:33" x14ac:dyDescent="0.3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</row>
    <row r="26" spans="1:33" x14ac:dyDescent="0.3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</row>
    <row r="27" spans="1:33" x14ac:dyDescent="0.3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</row>
    <row r="28" spans="1:33" x14ac:dyDescent="0.3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</row>
    <row r="29" spans="1:33" x14ac:dyDescent="0.3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</row>
    <row r="30" spans="1:33" x14ac:dyDescent="0.3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</row>
    <row r="31" spans="1:33" x14ac:dyDescent="0.3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</row>
    <row r="32" spans="1:33" x14ac:dyDescent="0.3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</row>
    <row r="33" spans="1:33" x14ac:dyDescent="0.3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</row>
    <row r="34" spans="1:33" x14ac:dyDescent="0.3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</row>
    <row r="35" spans="1:33" x14ac:dyDescent="0.3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</row>
    <row r="36" spans="1:33" x14ac:dyDescent="0.3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</row>
    <row r="37" spans="1:33" x14ac:dyDescent="0.3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</row>
    <row r="38" spans="1:33" x14ac:dyDescent="0.3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</row>
    <row r="39" spans="1:33" x14ac:dyDescent="0.3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</row>
    <row r="40" spans="1:33" x14ac:dyDescent="0.3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</row>
    <row r="41" spans="1:33" x14ac:dyDescent="0.3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</row>
    <row r="42" spans="1:33" x14ac:dyDescent="0.3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</row>
    <row r="43" spans="1:33" x14ac:dyDescent="0.3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</row>
    <row r="44" spans="1:33" x14ac:dyDescent="0.3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</row>
    <row r="45" spans="1:33" x14ac:dyDescent="0.3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</row>
    <row r="46" spans="1:33" x14ac:dyDescent="0.3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</row>
    <row r="47" spans="1:33" x14ac:dyDescent="0.3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</row>
    <row r="48" spans="1:33" x14ac:dyDescent="0.3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Y52"/>
  <sheetViews>
    <sheetView zoomScale="70" zoomScaleNormal="70" workbookViewId="0">
      <selection activeCell="E16" sqref="E16"/>
    </sheetView>
  </sheetViews>
  <sheetFormatPr baseColWidth="10" defaultRowHeight="14.4" x14ac:dyDescent="0.3"/>
  <cols>
    <col min="1" max="13" width="27.5546875" customWidth="1"/>
    <col min="14" max="14" width="29.109375" customWidth="1"/>
    <col min="15" max="19" width="27.5546875" customWidth="1"/>
    <col min="20" max="20" width="28.5546875" customWidth="1"/>
    <col min="21" max="22" width="27.5546875" customWidth="1"/>
  </cols>
  <sheetData>
    <row r="1" spans="1:25" ht="65.25" customHeight="1" x14ac:dyDescent="0.3">
      <c r="C1" s="23"/>
    </row>
    <row r="2" spans="1:25" ht="65.25" customHeight="1" x14ac:dyDescent="0.3">
      <c r="C2">
        <v>1802</v>
      </c>
      <c r="D2" t="s">
        <v>115</v>
      </c>
      <c r="E2">
        <v>1902</v>
      </c>
      <c r="F2" t="s">
        <v>80</v>
      </c>
      <c r="G2">
        <v>1852</v>
      </c>
      <c r="H2" t="s">
        <v>73</v>
      </c>
      <c r="I2">
        <v>19022</v>
      </c>
      <c r="J2" t="s">
        <v>76</v>
      </c>
      <c r="K2">
        <v>18022</v>
      </c>
      <c r="L2" t="s">
        <v>74</v>
      </c>
      <c r="M2">
        <v>1702</v>
      </c>
      <c r="N2" t="s">
        <v>104</v>
      </c>
      <c r="O2" t="s">
        <v>44</v>
      </c>
      <c r="P2" s="23" t="s">
        <v>90</v>
      </c>
      <c r="Q2" t="s">
        <v>44</v>
      </c>
      <c r="R2" t="s">
        <v>44</v>
      </c>
      <c r="S2" t="s">
        <v>44</v>
      </c>
      <c r="T2" t="s">
        <v>44</v>
      </c>
      <c r="U2" t="s">
        <v>82</v>
      </c>
      <c r="V2" t="s">
        <v>105</v>
      </c>
    </row>
    <row r="3" spans="1:25" ht="65.25" customHeight="1" x14ac:dyDescent="0.3">
      <c r="A3" s="21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</row>
    <row r="4" spans="1:25" ht="65.25" customHeight="1" x14ac:dyDescent="0.3"/>
    <row r="5" spans="1:25" ht="65.25" customHeight="1" x14ac:dyDescent="0.3">
      <c r="B5" t="s">
        <v>71</v>
      </c>
    </row>
    <row r="6" spans="1:25" ht="28.8" customHeight="1" x14ac:dyDescent="0.3">
      <c r="A6" s="3" t="s">
        <v>15</v>
      </c>
      <c r="B6" s="3" t="s">
        <v>1</v>
      </c>
      <c r="C6" s="3" t="s">
        <v>2</v>
      </c>
      <c r="D6" s="3" t="s">
        <v>3</v>
      </c>
      <c r="E6" s="3" t="s">
        <v>4</v>
      </c>
      <c r="F6" s="3" t="s">
        <v>5</v>
      </c>
      <c r="G6" s="3" t="s">
        <v>6</v>
      </c>
      <c r="H6" s="3" t="s">
        <v>7</v>
      </c>
      <c r="I6" s="3" t="s">
        <v>8</v>
      </c>
      <c r="J6" s="3" t="s">
        <v>9</v>
      </c>
      <c r="K6" s="3" t="s">
        <v>10</v>
      </c>
      <c r="L6" s="3" t="s">
        <v>11</v>
      </c>
      <c r="M6" s="3" t="s">
        <v>12</v>
      </c>
      <c r="N6" s="3" t="s">
        <v>13</v>
      </c>
      <c r="O6" s="3" t="s">
        <v>14</v>
      </c>
      <c r="P6" s="2" t="s">
        <v>0</v>
      </c>
      <c r="Q6" s="3" t="s">
        <v>16</v>
      </c>
      <c r="R6" s="3" t="s">
        <v>17</v>
      </c>
      <c r="S6" s="3" t="s">
        <v>18</v>
      </c>
      <c r="T6" s="3" t="s">
        <v>19</v>
      </c>
      <c r="U6" s="3" t="s">
        <v>20</v>
      </c>
      <c r="V6" s="4" t="s">
        <v>21</v>
      </c>
    </row>
    <row r="7" spans="1:25" ht="28.95" customHeight="1" x14ac:dyDescent="0.3">
      <c r="A7" s="31" t="s">
        <v>124</v>
      </c>
      <c r="B7" s="31" t="s">
        <v>129</v>
      </c>
      <c r="C7" s="31">
        <v>111</v>
      </c>
      <c r="D7" s="31" t="s">
        <v>130</v>
      </c>
      <c r="E7" s="31">
        <v>222</v>
      </c>
      <c r="F7" s="31" t="s">
        <v>125</v>
      </c>
      <c r="G7" s="31">
        <v>33</v>
      </c>
      <c r="H7" s="31" t="s">
        <v>127</v>
      </c>
      <c r="I7" s="31">
        <v>444</v>
      </c>
      <c r="J7" s="31" t="s">
        <v>45</v>
      </c>
      <c r="K7" s="31">
        <v>555</v>
      </c>
      <c r="L7" s="31" t="s">
        <v>126</v>
      </c>
      <c r="M7" s="31">
        <v>666</v>
      </c>
      <c r="N7" s="31" t="s">
        <v>36</v>
      </c>
      <c r="O7" s="32" t="s">
        <v>37</v>
      </c>
      <c r="P7" s="33"/>
      <c r="Q7" s="31" t="s">
        <v>123</v>
      </c>
      <c r="R7" s="31" t="s">
        <v>31</v>
      </c>
      <c r="S7" s="31" t="s">
        <v>30</v>
      </c>
      <c r="T7" s="31">
        <v>10</v>
      </c>
      <c r="U7" s="31" t="s">
        <v>128</v>
      </c>
      <c r="V7" s="32" t="s">
        <v>105</v>
      </c>
    </row>
    <row r="8" spans="1:25" s="26" customFormat="1" ht="28.8" customHeight="1" x14ac:dyDescent="0.3">
      <c r="A8" s="27" t="s">
        <v>117</v>
      </c>
      <c r="B8" s="27" t="s">
        <v>85</v>
      </c>
      <c r="C8" s="27">
        <v>5</v>
      </c>
      <c r="D8" s="27" t="s">
        <v>72</v>
      </c>
      <c r="E8" s="27">
        <v>5</v>
      </c>
      <c r="F8" s="27" t="s">
        <v>53</v>
      </c>
      <c r="G8" s="27">
        <v>11221</v>
      </c>
      <c r="H8" s="27"/>
      <c r="I8" s="27"/>
      <c r="J8" s="27"/>
      <c r="K8" s="27"/>
      <c r="L8" s="27"/>
      <c r="M8" s="27"/>
      <c r="N8" s="27" t="s">
        <v>32</v>
      </c>
      <c r="O8" s="28" t="s">
        <v>25</v>
      </c>
      <c r="P8" s="29"/>
      <c r="Q8" s="27" t="s">
        <v>118</v>
      </c>
      <c r="R8" s="27" t="s">
        <v>31</v>
      </c>
      <c r="S8" s="27" t="s">
        <v>26</v>
      </c>
      <c r="T8" s="27" t="s">
        <v>121</v>
      </c>
      <c r="U8" s="27" t="s">
        <v>122</v>
      </c>
      <c r="V8" s="28" t="s">
        <v>105</v>
      </c>
    </row>
    <row r="9" spans="1:25" s="26" customFormat="1" ht="28.95" customHeight="1" x14ac:dyDescent="0.3">
      <c r="A9" s="27" t="s">
        <v>110</v>
      </c>
      <c r="B9" s="27" t="s">
        <v>77</v>
      </c>
      <c r="C9" s="27">
        <v>123</v>
      </c>
      <c r="D9" s="27" t="s">
        <v>111</v>
      </c>
      <c r="E9" s="27">
        <v>2134</v>
      </c>
      <c r="F9" s="27" t="s">
        <v>47</v>
      </c>
      <c r="G9" s="27">
        <v>3442</v>
      </c>
      <c r="H9" s="27" t="s">
        <v>112</v>
      </c>
      <c r="I9" s="27">
        <v>543</v>
      </c>
      <c r="J9" s="27" t="s">
        <v>80</v>
      </c>
      <c r="K9" s="27">
        <v>9876</v>
      </c>
      <c r="L9" s="27" t="s">
        <v>51</v>
      </c>
      <c r="M9" s="27">
        <v>765432</v>
      </c>
      <c r="N9" s="27" t="s">
        <v>36</v>
      </c>
      <c r="O9" s="28" t="s">
        <v>37</v>
      </c>
      <c r="P9" s="29">
        <v>44265</v>
      </c>
      <c r="Q9" s="27" t="s">
        <v>113</v>
      </c>
      <c r="R9" s="27" t="s">
        <v>31</v>
      </c>
      <c r="S9" s="27" t="s">
        <v>30</v>
      </c>
      <c r="T9" s="27">
        <v>789</v>
      </c>
      <c r="U9" s="27" t="s">
        <v>84</v>
      </c>
      <c r="V9" s="28" t="s">
        <v>105</v>
      </c>
    </row>
    <row r="10" spans="1:25" ht="29.25" customHeight="1" x14ac:dyDescent="0.3">
      <c r="A10" s="20" t="s">
        <v>56</v>
      </c>
      <c r="B10" s="20" t="s">
        <v>132</v>
      </c>
      <c r="C10" s="20">
        <v>1801</v>
      </c>
      <c r="D10" s="20" t="s">
        <v>77</v>
      </c>
      <c r="E10" s="20">
        <v>1901</v>
      </c>
      <c r="F10" s="20" t="s">
        <v>80</v>
      </c>
      <c r="G10" s="20">
        <v>1851</v>
      </c>
      <c r="H10" s="20" t="s">
        <v>49</v>
      </c>
      <c r="I10" s="20">
        <v>19021</v>
      </c>
      <c r="J10" s="20" t="s">
        <v>81</v>
      </c>
      <c r="K10" s="20">
        <v>18021</v>
      </c>
      <c r="L10" s="20" t="s">
        <v>74</v>
      </c>
      <c r="M10" s="20">
        <v>1701</v>
      </c>
      <c r="N10" s="20" t="s">
        <v>38</v>
      </c>
      <c r="O10" s="20" t="s">
        <v>29</v>
      </c>
      <c r="P10" s="22">
        <v>44785</v>
      </c>
      <c r="Q10" s="20" t="s">
        <v>43</v>
      </c>
      <c r="R10" s="20" t="s">
        <v>35</v>
      </c>
      <c r="S10" s="20" t="s">
        <v>30</v>
      </c>
      <c r="T10" s="20">
        <v>15</v>
      </c>
      <c r="U10" s="20" t="s">
        <v>82</v>
      </c>
      <c r="V10" s="1" t="s">
        <v>105</v>
      </c>
      <c r="Y10" t="s">
        <v>71</v>
      </c>
    </row>
    <row r="11" spans="1:25" ht="29.25" customHeight="1" x14ac:dyDescent="0.3">
      <c r="A11" s="20" t="s">
        <v>57</v>
      </c>
      <c r="B11" s="20" t="s">
        <v>48</v>
      </c>
      <c r="C11" s="20">
        <v>1802</v>
      </c>
      <c r="D11" s="20" t="s">
        <v>77</v>
      </c>
      <c r="E11" s="20">
        <v>1902</v>
      </c>
      <c r="F11" s="20" t="s">
        <v>80</v>
      </c>
      <c r="G11" s="20">
        <v>1852</v>
      </c>
      <c r="H11" s="20" t="s">
        <v>73</v>
      </c>
      <c r="I11" s="20">
        <v>19022</v>
      </c>
      <c r="J11" s="20" t="s">
        <v>81</v>
      </c>
      <c r="K11" s="20">
        <v>18022</v>
      </c>
      <c r="L11" s="20" t="s">
        <v>74</v>
      </c>
      <c r="M11" s="20">
        <v>1702</v>
      </c>
      <c r="N11" s="20" t="s">
        <v>108</v>
      </c>
      <c r="O11" s="20" t="s">
        <v>44</v>
      </c>
      <c r="P11" s="22" t="s">
        <v>131</v>
      </c>
      <c r="Q11" s="20" t="s">
        <v>44</v>
      </c>
      <c r="R11" s="20" t="s">
        <v>44</v>
      </c>
      <c r="S11" s="20" t="s">
        <v>44</v>
      </c>
      <c r="T11" s="20" t="s">
        <v>44</v>
      </c>
      <c r="U11" s="20" t="s">
        <v>82</v>
      </c>
      <c r="V11" s="1" t="s">
        <v>105</v>
      </c>
    </row>
    <row r="12" spans="1:25" ht="29.25" customHeight="1" x14ac:dyDescent="0.3">
      <c r="A12" s="20" t="s">
        <v>58</v>
      </c>
      <c r="B12" s="20" t="s">
        <v>49</v>
      </c>
      <c r="C12" s="20">
        <v>1803</v>
      </c>
      <c r="D12" s="20" t="s">
        <v>72</v>
      </c>
      <c r="E12" s="20">
        <v>1903</v>
      </c>
      <c r="F12" s="20" t="s">
        <v>80</v>
      </c>
      <c r="G12" s="20">
        <v>1853</v>
      </c>
      <c r="H12" s="20" t="s">
        <v>73</v>
      </c>
      <c r="I12" s="20">
        <v>19023</v>
      </c>
      <c r="J12" s="20" t="s">
        <v>81</v>
      </c>
      <c r="K12" s="20">
        <v>18023</v>
      </c>
      <c r="L12" s="20" t="s">
        <v>79</v>
      </c>
      <c r="M12" s="20">
        <v>1703</v>
      </c>
      <c r="N12" s="20" t="s">
        <v>86</v>
      </c>
      <c r="O12" s="20" t="s">
        <v>45</v>
      </c>
      <c r="P12" s="22" t="s">
        <v>91</v>
      </c>
      <c r="Q12" s="20" t="s">
        <v>45</v>
      </c>
      <c r="R12" s="20" t="s">
        <v>45</v>
      </c>
      <c r="S12" s="20" t="s">
        <v>45</v>
      </c>
      <c r="T12" s="20" t="s">
        <v>45</v>
      </c>
      <c r="U12" s="20" t="s">
        <v>82</v>
      </c>
      <c r="V12" s="1"/>
    </row>
    <row r="13" spans="1:25" ht="29.25" customHeight="1" x14ac:dyDescent="0.3">
      <c r="A13" s="20" t="s">
        <v>88</v>
      </c>
      <c r="B13" s="20" t="s">
        <v>49</v>
      </c>
      <c r="C13" s="20">
        <v>1804</v>
      </c>
      <c r="D13" s="20" t="str">
        <f t="shared" ref="D13" ca="1" si="0" xml:space="preserve"> IF(RANDBETWEEN(1,3)= 1,"KEVIN",IF(RANDBETWEEN(1,3) = 2, "GALO","ENRIQUE"))</f>
        <v>KEVIN</v>
      </c>
      <c r="E13" s="20">
        <v>1904</v>
      </c>
      <c r="F13" s="20" t="str">
        <f t="shared" ref="F13" ca="1" si="1" xml:space="preserve"> IF(RANDBETWEEN(1,3)= 1,"EDGAR",IF(RANDBETWEEN(1,3) = 2, "JUAN","MARCO"))</f>
        <v>MARCO</v>
      </c>
      <c r="G13" s="20">
        <v>1854</v>
      </c>
      <c r="H13" s="20" t="str">
        <f t="shared" ref="H13" ca="1" si="2" xml:space="preserve"> IF(RANDBETWEEN(1,3)= 1,"ANGEL",IF(RANDBETWEEN(1,3) = 2, "RENE","LUIS"))</f>
        <v>LUIS</v>
      </c>
      <c r="I13" s="20">
        <v>19024</v>
      </c>
      <c r="J13" s="20" t="str">
        <f t="shared" ref="J13" ca="1" si="3" xml:space="preserve"> IF(RANDBETWEEN(1,3)= 1,"MARTA",IF(RANDBETWEEN(1,3) = 2, "MARIA","IBARRA"))</f>
        <v>MARTA</v>
      </c>
      <c r="K13" s="20">
        <v>18024</v>
      </c>
      <c r="L13" s="20" t="str">
        <f t="shared" ref="L13" ca="1" si="4" xml:space="preserve"> IF(RANDBETWEEN(1,3)= 1,"MARCELO",IF(RANDBETWEEN(1,3) = 2, "PEPE","EDUARDO"))</f>
        <v>MARCELO</v>
      </c>
      <c r="M13" s="20">
        <v>1704</v>
      </c>
      <c r="N13" s="20" t="str">
        <f t="shared" ref="N13" ca="1" si="5" xml:space="preserve"> IF(RANDBETWEEN(1,3)= 1,"TI",IF(RANDBETWEEN(1,3) = 2, "SOFTWARE","INDUSTRIAL"))</f>
        <v>INDUSTRIAL</v>
      </c>
      <c r="O13" s="20" t="s">
        <v>46</v>
      </c>
      <c r="P13" s="22" t="s">
        <v>92</v>
      </c>
      <c r="Q13" s="20" t="s">
        <v>46</v>
      </c>
      <c r="R13" s="20" t="s">
        <v>46</v>
      </c>
      <c r="S13" s="20" t="s">
        <v>46</v>
      </c>
      <c r="T13" s="20" t="s">
        <v>46</v>
      </c>
      <c r="U13" s="20" t="str">
        <f t="shared" ref="U13" ca="1" si="6" xml:space="preserve"> IF(RANDBETWEEN(1,3)= 1,"IZAMBA",IF(RANDBETWEEN(1,3) = 2, "HUACHI","INGAHURCO"))</f>
        <v>HUACHI</v>
      </c>
      <c r="V13" s="1"/>
    </row>
    <row r="14" spans="1:25" ht="28.95" customHeight="1" x14ac:dyDescent="0.3">
      <c r="A14" s="20" t="s">
        <v>59</v>
      </c>
      <c r="B14" s="20" t="s">
        <v>50</v>
      </c>
      <c r="C14" s="20">
        <v>1805</v>
      </c>
      <c r="D14" s="20" t="s">
        <v>115</v>
      </c>
      <c r="E14" s="20">
        <v>1905</v>
      </c>
      <c r="F14" s="20" t="s">
        <v>54</v>
      </c>
      <c r="G14" s="20">
        <v>1855</v>
      </c>
      <c r="H14" s="20" t="s">
        <v>73</v>
      </c>
      <c r="I14" s="20">
        <v>19025</v>
      </c>
      <c r="J14" s="20" t="s">
        <v>85</v>
      </c>
      <c r="K14" s="20">
        <v>18025</v>
      </c>
      <c r="L14" s="20" t="s">
        <v>74</v>
      </c>
      <c r="M14" s="20">
        <v>1705</v>
      </c>
      <c r="N14" s="20" t="s">
        <v>86</v>
      </c>
      <c r="O14" s="20" t="s">
        <v>43</v>
      </c>
      <c r="P14" s="22"/>
      <c r="Q14" s="20" t="s">
        <v>43</v>
      </c>
      <c r="R14" s="20" t="s">
        <v>46</v>
      </c>
      <c r="S14" s="20" t="s">
        <v>43</v>
      </c>
      <c r="T14" s="20" t="s">
        <v>43</v>
      </c>
      <c r="U14" s="20" t="s">
        <v>84</v>
      </c>
      <c r="V14" s="1" t="s">
        <v>116</v>
      </c>
    </row>
    <row r="15" spans="1:25" ht="29.25" customHeight="1" x14ac:dyDescent="0.3">
      <c r="A15" s="20" t="s">
        <v>60</v>
      </c>
      <c r="B15" s="20" t="s">
        <v>87</v>
      </c>
      <c r="C15" s="20">
        <v>1808</v>
      </c>
      <c r="D15" s="20" t="s">
        <v>72</v>
      </c>
      <c r="E15" s="20">
        <v>1908</v>
      </c>
      <c r="F15" s="20" t="s">
        <v>54</v>
      </c>
      <c r="G15" s="20">
        <v>1858</v>
      </c>
      <c r="H15" s="20" t="s">
        <v>49</v>
      </c>
      <c r="I15" s="20">
        <v>19028</v>
      </c>
      <c r="J15" s="20" t="s">
        <v>81</v>
      </c>
      <c r="K15" s="20">
        <v>18028</v>
      </c>
      <c r="L15" s="20" t="s">
        <v>78</v>
      </c>
      <c r="M15" s="20">
        <v>1708</v>
      </c>
      <c r="N15" s="20" t="s">
        <v>86</v>
      </c>
      <c r="O15" s="20" t="s">
        <v>43</v>
      </c>
      <c r="P15" s="22" t="s">
        <v>93</v>
      </c>
      <c r="Q15" s="20" t="s">
        <v>44</v>
      </c>
      <c r="R15" s="20" t="s">
        <v>46</v>
      </c>
      <c r="S15" s="20" t="s">
        <v>44</v>
      </c>
      <c r="T15" s="20" t="s">
        <v>44</v>
      </c>
      <c r="U15" s="20" t="s">
        <v>84</v>
      </c>
      <c r="V15" s="1" t="s">
        <v>119</v>
      </c>
    </row>
    <row r="16" spans="1:25" ht="29.25" customHeight="1" x14ac:dyDescent="0.3">
      <c r="A16" s="20" t="s">
        <v>61</v>
      </c>
      <c r="B16" s="20" t="s">
        <v>54</v>
      </c>
      <c r="C16" s="20">
        <v>1809</v>
      </c>
      <c r="D16" s="20" t="str">
        <f t="shared" ref="D16:D23" ca="1" si="7" xml:space="preserve"> IF(RANDBETWEEN(1,3)= 1,"KEVIN",IF(RANDBETWEEN(1,3) = 2, "GALO","ENRIQUE"))</f>
        <v>ENRIQUE</v>
      </c>
      <c r="E16" s="20">
        <v>1909</v>
      </c>
      <c r="F16" s="20" t="str">
        <f t="shared" ref="F16:F23" ca="1" si="8" xml:space="preserve"> IF(RANDBETWEEN(1,3)= 1,"EDGAR",IF(RANDBETWEEN(1,3) = 2, "JUAN","MARCO"))</f>
        <v>EDGAR</v>
      </c>
      <c r="G16" s="20">
        <v>1859</v>
      </c>
      <c r="H16" s="20" t="str">
        <f t="shared" ref="H16:H23" ca="1" si="9" xml:space="preserve"> IF(RANDBETWEEN(1,3)= 1,"ANGEL",IF(RANDBETWEEN(1,3) = 2, "RENE","LUIS"))</f>
        <v>LUIS</v>
      </c>
      <c r="I16" s="20">
        <v>19029</v>
      </c>
      <c r="J16" s="20" t="str">
        <f t="shared" ref="J16:J23" ca="1" si="10" xml:space="preserve"> IF(RANDBETWEEN(1,3)= 1,"MARTA",IF(RANDBETWEEN(1,3) = 2, "MARIA","IBARRA"))</f>
        <v>MARTA</v>
      </c>
      <c r="K16" s="20">
        <v>18029</v>
      </c>
      <c r="L16" s="20" t="str">
        <f t="shared" ref="L16:L23" ca="1" si="11" xml:space="preserve"> IF(RANDBETWEEN(1,3)= 1,"MARCELO",IF(RANDBETWEEN(1,3) = 2, "PEPE","EDUARDO"))</f>
        <v>EDUARDO</v>
      </c>
      <c r="M16" s="20">
        <v>1709</v>
      </c>
      <c r="N16" s="20" t="str">
        <f t="shared" ref="N16:N23" ca="1" si="12" xml:space="preserve"> IF(RANDBETWEEN(1,3)= 1,"TI",IF(RANDBETWEEN(1,3) = 2, "SOFTWARE","INDUSTRIAL"))</f>
        <v>SOFTWARE</v>
      </c>
      <c r="O16" s="20" t="s">
        <v>43</v>
      </c>
      <c r="P16" s="22" t="s">
        <v>94</v>
      </c>
      <c r="Q16" s="20" t="s">
        <v>44</v>
      </c>
      <c r="R16" s="20" t="s">
        <v>46</v>
      </c>
      <c r="S16" s="20" t="s">
        <v>44</v>
      </c>
      <c r="T16" s="20" t="s">
        <v>44</v>
      </c>
      <c r="U16" s="20" t="str">
        <f t="shared" ref="U16:U23" ca="1" si="13" xml:space="preserve"> IF(RANDBETWEEN(1,3)= 1,"IZAMBA",IF(RANDBETWEEN(1,3) = 2, "HUACHI","INGAHURCO"))</f>
        <v>IZAMBA</v>
      </c>
      <c r="V16" s="1"/>
    </row>
    <row r="17" spans="1:22" ht="29.25" customHeight="1" x14ac:dyDescent="0.3">
      <c r="A17" s="20" t="s">
        <v>62</v>
      </c>
      <c r="B17" s="20" t="s">
        <v>55</v>
      </c>
      <c r="C17" s="20">
        <v>1810</v>
      </c>
      <c r="D17" s="20" t="s">
        <v>77</v>
      </c>
      <c r="E17" s="20">
        <v>1910</v>
      </c>
      <c r="F17" s="20" t="s">
        <v>51</v>
      </c>
      <c r="G17" s="20">
        <v>1860</v>
      </c>
      <c r="H17" s="20" t="s">
        <v>75</v>
      </c>
      <c r="I17" s="20">
        <v>19030</v>
      </c>
      <c r="J17" s="20" t="s">
        <v>76</v>
      </c>
      <c r="K17" s="20">
        <v>18030</v>
      </c>
      <c r="L17" s="20" t="s">
        <v>78</v>
      </c>
      <c r="M17" s="20">
        <v>1710</v>
      </c>
      <c r="N17" s="20" t="s">
        <v>86</v>
      </c>
      <c r="O17" s="20" t="s">
        <v>43</v>
      </c>
      <c r="P17" s="22" t="s">
        <v>95</v>
      </c>
      <c r="Q17" s="20" t="s">
        <v>44</v>
      </c>
      <c r="R17" s="20" t="s">
        <v>46</v>
      </c>
      <c r="S17" s="20" t="s">
        <v>44</v>
      </c>
      <c r="T17" s="20" t="s">
        <v>44</v>
      </c>
      <c r="U17" s="20" t="s">
        <v>83</v>
      </c>
      <c r="V17" s="1" t="s">
        <v>105</v>
      </c>
    </row>
    <row r="18" spans="1:22" ht="29.25" customHeight="1" x14ac:dyDescent="0.3">
      <c r="A18" s="20" t="s">
        <v>63</v>
      </c>
      <c r="B18" s="20" t="s">
        <v>133</v>
      </c>
      <c r="C18" s="20">
        <v>1812</v>
      </c>
      <c r="D18" s="20" t="str">
        <f t="shared" ref="D18" ca="1" si="14" xml:space="preserve"> IF(RANDBETWEEN(1,3)= 1,"KEVIN",IF(RANDBETWEEN(1,3) = 2, "GALO","ENRIQUE"))</f>
        <v>ENRIQUE</v>
      </c>
      <c r="E18" s="20">
        <v>1912</v>
      </c>
      <c r="F18" s="20" t="str">
        <f t="shared" ref="F18" ca="1" si="15" xml:space="preserve"> IF(RANDBETWEEN(1,3)= 1,"EDGAR",IF(RANDBETWEEN(1,3) = 2, "JUAN","MARCO"))</f>
        <v>MARCO</v>
      </c>
      <c r="G18" s="20">
        <v>1862</v>
      </c>
      <c r="H18" s="20" t="str">
        <f t="shared" ref="H18" ca="1" si="16" xml:space="preserve"> IF(RANDBETWEEN(1,3)= 1,"ANGEL",IF(RANDBETWEEN(1,3) = 2, "RENE","LUIS"))</f>
        <v>LUIS</v>
      </c>
      <c r="I18" s="20">
        <v>19032</v>
      </c>
      <c r="J18" s="20" t="str">
        <f t="shared" ref="J18" ca="1" si="17" xml:space="preserve"> IF(RANDBETWEEN(1,3)= 1,"MARTA",IF(RANDBETWEEN(1,3) = 2, "MARIA","IBARRA"))</f>
        <v>MARIA</v>
      </c>
      <c r="K18" s="20">
        <v>18032</v>
      </c>
      <c r="L18" s="20" t="str">
        <f t="shared" ref="L18" ca="1" si="18" xml:space="preserve"> IF(RANDBETWEEN(1,3)= 1,"MARCELO",IF(RANDBETWEEN(1,3) = 2, "PEPE","EDUARDO"))</f>
        <v>MARCELO</v>
      </c>
      <c r="M18" s="20">
        <v>1712</v>
      </c>
      <c r="N18" s="20" t="str">
        <f t="shared" ca="1" si="12"/>
        <v>INDUSTRIAL</v>
      </c>
      <c r="O18" s="20" t="s">
        <v>43</v>
      </c>
      <c r="P18" s="22" t="s">
        <v>96</v>
      </c>
      <c r="Q18" s="20" t="s">
        <v>44</v>
      </c>
      <c r="R18" s="20" t="s">
        <v>46</v>
      </c>
      <c r="S18" s="20" t="s">
        <v>44</v>
      </c>
      <c r="T18" s="20" t="s">
        <v>44</v>
      </c>
      <c r="U18" s="20" t="str">
        <f t="shared" ref="U18" ca="1" si="19" xml:space="preserve"> IF(RANDBETWEEN(1,3)= 1,"IZAMBA",IF(RANDBETWEEN(1,3) = 2, "HUACHI","INGAHURCO"))</f>
        <v>IZAMBA</v>
      </c>
      <c r="V18" s="1"/>
    </row>
    <row r="19" spans="1:22" ht="29.25" customHeight="1" x14ac:dyDescent="0.3">
      <c r="A19" s="20" t="s">
        <v>64</v>
      </c>
      <c r="B19" s="20" t="s">
        <v>49</v>
      </c>
      <c r="C19" s="20">
        <v>1813</v>
      </c>
      <c r="D19" s="20" t="s">
        <v>77</v>
      </c>
      <c r="E19" s="20">
        <v>1913</v>
      </c>
      <c r="F19" s="20" t="s">
        <v>51</v>
      </c>
      <c r="G19" s="20" t="s">
        <v>105</v>
      </c>
      <c r="H19" s="20" t="s">
        <v>73</v>
      </c>
      <c r="I19" s="20">
        <v>19033</v>
      </c>
      <c r="J19" s="20" t="s">
        <v>85</v>
      </c>
      <c r="K19" s="20">
        <v>18033</v>
      </c>
      <c r="L19" s="20" t="s">
        <v>74</v>
      </c>
      <c r="M19" s="20">
        <v>1713</v>
      </c>
      <c r="N19" s="20" t="s">
        <v>104</v>
      </c>
      <c r="O19" s="20" t="s">
        <v>43</v>
      </c>
      <c r="P19" s="22" t="s">
        <v>97</v>
      </c>
      <c r="Q19" s="20" t="s">
        <v>44</v>
      </c>
      <c r="R19" s="20" t="s">
        <v>46</v>
      </c>
      <c r="S19" s="20" t="s">
        <v>44</v>
      </c>
      <c r="T19" s="20" t="s">
        <v>44</v>
      </c>
      <c r="U19" s="20" t="s">
        <v>84</v>
      </c>
      <c r="V19" s="1" t="s">
        <v>107</v>
      </c>
    </row>
    <row r="20" spans="1:22" ht="29.25" customHeight="1" x14ac:dyDescent="0.3">
      <c r="A20" s="20" t="s">
        <v>65</v>
      </c>
      <c r="B20" s="20" t="s">
        <v>49</v>
      </c>
      <c r="C20" s="20">
        <v>1814</v>
      </c>
      <c r="D20" s="20" t="str">
        <f t="shared" ca="1" si="7"/>
        <v>KEVIN</v>
      </c>
      <c r="E20" s="20">
        <v>1914</v>
      </c>
      <c r="F20" s="20" t="str">
        <f t="shared" ca="1" si="8"/>
        <v>MARCO</v>
      </c>
      <c r="G20" s="20">
        <v>1864</v>
      </c>
      <c r="H20" s="20" t="str">
        <f t="shared" ca="1" si="9"/>
        <v>LUIS</v>
      </c>
      <c r="I20" s="20">
        <v>19034</v>
      </c>
      <c r="J20" s="20" t="str">
        <f t="shared" ca="1" si="10"/>
        <v>IBARRA</v>
      </c>
      <c r="K20" s="20">
        <v>18034</v>
      </c>
      <c r="L20" s="20" t="str">
        <f t="shared" ca="1" si="11"/>
        <v>PEPE</v>
      </c>
      <c r="M20" s="20">
        <v>1714</v>
      </c>
      <c r="N20" s="20" t="str">
        <f t="shared" ca="1" si="12"/>
        <v>INDUSTRIAL</v>
      </c>
      <c r="O20" s="20" t="s">
        <v>43</v>
      </c>
      <c r="P20" s="22" t="s">
        <v>98</v>
      </c>
      <c r="Q20" s="20" t="s">
        <v>44</v>
      </c>
      <c r="R20" s="20" t="s">
        <v>46</v>
      </c>
      <c r="S20" s="20" t="s">
        <v>44</v>
      </c>
      <c r="T20" s="20" t="s">
        <v>44</v>
      </c>
      <c r="U20" s="20" t="str">
        <f t="shared" ca="1" si="13"/>
        <v>INGAHURCO</v>
      </c>
      <c r="V20" s="1"/>
    </row>
    <row r="21" spans="1:22" ht="29.25" customHeight="1" x14ac:dyDescent="0.3">
      <c r="A21" s="20" t="s">
        <v>66</v>
      </c>
      <c r="B21" s="20" t="s">
        <v>50</v>
      </c>
      <c r="C21" s="20">
        <v>1815</v>
      </c>
      <c r="D21" s="20" t="str">
        <f t="shared" ca="1" si="7"/>
        <v>KEVIN</v>
      </c>
      <c r="E21" s="20">
        <v>1915</v>
      </c>
      <c r="F21" s="20" t="str">
        <f t="shared" ca="1" si="8"/>
        <v>EDGAR</v>
      </c>
      <c r="G21" s="20">
        <v>1865</v>
      </c>
      <c r="H21" s="20" t="str">
        <f t="shared" ca="1" si="9"/>
        <v>LUIS</v>
      </c>
      <c r="I21" s="20">
        <v>19035</v>
      </c>
      <c r="J21" s="20" t="str">
        <f t="shared" ca="1" si="10"/>
        <v>MARIA</v>
      </c>
      <c r="K21" s="20">
        <v>18035</v>
      </c>
      <c r="L21" s="20" t="str">
        <f t="shared" ca="1" si="11"/>
        <v>MARCELO</v>
      </c>
      <c r="M21" s="20">
        <v>1715</v>
      </c>
      <c r="N21" s="20" t="str">
        <f t="shared" ca="1" si="12"/>
        <v>SOFTWARE</v>
      </c>
      <c r="O21" s="20" t="s">
        <v>43</v>
      </c>
      <c r="P21" s="22" t="s">
        <v>99</v>
      </c>
      <c r="Q21" s="20" t="s">
        <v>44</v>
      </c>
      <c r="R21" s="20" t="s">
        <v>46</v>
      </c>
      <c r="S21" s="20" t="s">
        <v>44</v>
      </c>
      <c r="T21" s="20" t="s">
        <v>44</v>
      </c>
      <c r="U21" s="20" t="str">
        <f t="shared" ca="1" si="13"/>
        <v>INGAHURCO</v>
      </c>
      <c r="V21" s="1"/>
    </row>
    <row r="22" spans="1:22" ht="28.95" customHeight="1" x14ac:dyDescent="0.3">
      <c r="A22" s="20" t="s">
        <v>67</v>
      </c>
      <c r="B22" s="20" t="s">
        <v>51</v>
      </c>
      <c r="C22" s="20">
        <v>1816</v>
      </c>
      <c r="D22" s="20" t="str">
        <f t="shared" ca="1" si="7"/>
        <v>KEVIN</v>
      </c>
      <c r="E22" s="20">
        <v>1916</v>
      </c>
      <c r="F22" s="20" t="str">
        <f t="shared" ca="1" si="8"/>
        <v>MARCO</v>
      </c>
      <c r="G22" s="20">
        <v>1866</v>
      </c>
      <c r="H22" s="20" t="str">
        <f t="shared" ca="1" si="9"/>
        <v>RENE</v>
      </c>
      <c r="I22" s="20">
        <v>19036</v>
      </c>
      <c r="J22" s="20" t="str">
        <f t="shared" ca="1" si="10"/>
        <v>MARTA</v>
      </c>
      <c r="K22" s="20">
        <v>18036</v>
      </c>
      <c r="L22" s="20" t="str">
        <f t="shared" ca="1" si="11"/>
        <v>PEPE</v>
      </c>
      <c r="M22" s="20">
        <v>1716</v>
      </c>
      <c r="N22" s="20" t="str">
        <f t="shared" ca="1" si="12"/>
        <v>INDUSTRIAL</v>
      </c>
      <c r="O22" s="20" t="s">
        <v>43</v>
      </c>
      <c r="P22" s="22" t="s">
        <v>100</v>
      </c>
      <c r="Q22" s="20" t="s">
        <v>44</v>
      </c>
      <c r="R22" s="20" t="s">
        <v>46</v>
      </c>
      <c r="S22" s="20" t="s">
        <v>44</v>
      </c>
      <c r="T22" s="20" t="s">
        <v>44</v>
      </c>
      <c r="U22" s="20" t="str">
        <f t="shared" ca="1" si="13"/>
        <v>HUACHI</v>
      </c>
      <c r="V22" s="1"/>
    </row>
    <row r="23" spans="1:22" ht="28.95" customHeight="1" x14ac:dyDescent="0.3">
      <c r="A23" s="20" t="s">
        <v>68</v>
      </c>
      <c r="B23" s="20" t="s">
        <v>52</v>
      </c>
      <c r="C23" s="20">
        <v>1817</v>
      </c>
      <c r="D23" s="20" t="str">
        <f t="shared" ca="1" si="7"/>
        <v>ENRIQUE</v>
      </c>
      <c r="E23" s="20">
        <v>1917</v>
      </c>
      <c r="F23" s="20" t="str">
        <f t="shared" ca="1" si="8"/>
        <v>JUAN</v>
      </c>
      <c r="G23" s="20">
        <v>1867</v>
      </c>
      <c r="H23" s="20" t="str">
        <f t="shared" ca="1" si="9"/>
        <v>RENE</v>
      </c>
      <c r="I23" s="20">
        <v>19037</v>
      </c>
      <c r="J23" s="20" t="str">
        <f t="shared" ca="1" si="10"/>
        <v>IBARRA</v>
      </c>
      <c r="K23" s="20">
        <v>18037</v>
      </c>
      <c r="L23" s="20" t="str">
        <f t="shared" ca="1" si="11"/>
        <v>MARCELO</v>
      </c>
      <c r="M23" s="20">
        <v>1717</v>
      </c>
      <c r="N23" s="20" t="str">
        <f t="shared" ca="1" si="12"/>
        <v>SOFTWARE</v>
      </c>
      <c r="O23" s="20" t="s">
        <v>43</v>
      </c>
      <c r="P23" s="22" t="s">
        <v>101</v>
      </c>
      <c r="Q23" s="20" t="s">
        <v>44</v>
      </c>
      <c r="R23" s="20" t="s">
        <v>46</v>
      </c>
      <c r="S23" s="20" t="s">
        <v>44</v>
      </c>
      <c r="T23" s="20" t="s">
        <v>44</v>
      </c>
      <c r="U23" s="20" t="str">
        <f t="shared" ca="1" si="13"/>
        <v>IZAMBA</v>
      </c>
      <c r="V23" s="1"/>
    </row>
    <row r="24" spans="1:22" ht="29.25" customHeight="1" x14ac:dyDescent="0.3">
      <c r="A24" s="20" t="s">
        <v>69</v>
      </c>
      <c r="B24" s="20" t="s">
        <v>53</v>
      </c>
      <c r="C24" s="20">
        <v>1818</v>
      </c>
      <c r="D24" s="20" t="s">
        <v>77</v>
      </c>
      <c r="E24" s="20">
        <v>1918</v>
      </c>
      <c r="F24" s="20" t="s">
        <v>54</v>
      </c>
      <c r="G24" s="20">
        <v>1868</v>
      </c>
      <c r="H24" s="20" t="s">
        <v>73</v>
      </c>
      <c r="I24" s="20">
        <v>19038</v>
      </c>
      <c r="J24" s="20" t="s">
        <v>76</v>
      </c>
      <c r="K24" s="20">
        <v>18038</v>
      </c>
      <c r="L24" s="20" t="s">
        <v>78</v>
      </c>
      <c r="M24" s="20">
        <v>1718</v>
      </c>
      <c r="N24" s="20" t="s">
        <v>108</v>
      </c>
      <c r="O24" s="20" t="s">
        <v>43</v>
      </c>
      <c r="P24" s="22"/>
      <c r="Q24" s="20" t="s">
        <v>44</v>
      </c>
      <c r="R24" s="20" t="s">
        <v>46</v>
      </c>
      <c r="S24" s="20" t="s">
        <v>44</v>
      </c>
      <c r="T24" s="20" t="s">
        <v>44</v>
      </c>
      <c r="U24" s="20" t="s">
        <v>84</v>
      </c>
      <c r="V24" s="1" t="s">
        <v>114</v>
      </c>
    </row>
    <row r="25" spans="1:22" ht="29.25" customHeight="1" x14ac:dyDescent="0.3">
      <c r="A25" s="20" t="s">
        <v>70</v>
      </c>
      <c r="B25" s="20" t="s">
        <v>55</v>
      </c>
      <c r="C25" s="20">
        <v>1820</v>
      </c>
      <c r="D25" s="20" t="s">
        <v>77</v>
      </c>
      <c r="E25" s="20">
        <v>1920</v>
      </c>
      <c r="F25" s="20" t="s">
        <v>54</v>
      </c>
      <c r="G25" s="20">
        <v>1870</v>
      </c>
      <c r="H25" s="20" t="s">
        <v>75</v>
      </c>
      <c r="I25" s="20">
        <v>19040</v>
      </c>
      <c r="J25" s="20" t="s">
        <v>81</v>
      </c>
      <c r="K25" s="20">
        <v>18040</v>
      </c>
      <c r="L25" s="20" t="s">
        <v>78</v>
      </c>
      <c r="M25" s="20">
        <v>1720</v>
      </c>
      <c r="N25" s="20" t="s">
        <v>108</v>
      </c>
      <c r="O25" s="20" t="s">
        <v>43</v>
      </c>
      <c r="P25" s="22" t="s">
        <v>102</v>
      </c>
      <c r="Q25" s="20" t="s">
        <v>44</v>
      </c>
      <c r="R25" s="20" t="s">
        <v>46</v>
      </c>
      <c r="S25" s="20" t="s">
        <v>44</v>
      </c>
      <c r="T25" s="20" t="s">
        <v>44</v>
      </c>
      <c r="U25" s="20" t="s">
        <v>83</v>
      </c>
      <c r="V25" s="1" t="s">
        <v>109</v>
      </c>
    </row>
    <row r="26" spans="1:22" ht="28.8" customHeight="1" x14ac:dyDescent="0.3">
      <c r="A26" s="20" t="s">
        <v>89</v>
      </c>
      <c r="B26" s="20" t="s">
        <v>54</v>
      </c>
      <c r="C26" s="20">
        <v>1819</v>
      </c>
      <c r="D26" s="20" t="s">
        <v>72</v>
      </c>
      <c r="E26" s="20">
        <v>1919</v>
      </c>
      <c r="F26" s="30" t="s">
        <v>54</v>
      </c>
      <c r="G26" s="20">
        <v>1869</v>
      </c>
      <c r="H26" s="20" t="s">
        <v>75</v>
      </c>
      <c r="I26" s="20">
        <v>19039</v>
      </c>
      <c r="J26" s="20" t="s">
        <v>85</v>
      </c>
      <c r="K26" s="20">
        <v>18039</v>
      </c>
      <c r="L26" s="20" t="s">
        <v>78</v>
      </c>
      <c r="M26" s="20">
        <v>1719</v>
      </c>
      <c r="N26" s="20" t="s">
        <v>104</v>
      </c>
      <c r="O26" s="20" t="s">
        <v>43</v>
      </c>
      <c r="P26" s="22" t="s">
        <v>103</v>
      </c>
      <c r="Q26" s="20" t="s">
        <v>44</v>
      </c>
      <c r="R26" s="20" t="s">
        <v>46</v>
      </c>
      <c r="S26" s="20" t="s">
        <v>44</v>
      </c>
      <c r="T26" s="20" t="s">
        <v>44</v>
      </c>
      <c r="U26" s="20" t="s">
        <v>84</v>
      </c>
      <c r="V26" s="1" t="s">
        <v>106</v>
      </c>
    </row>
    <row r="29" spans="1:22" x14ac:dyDescent="0.3">
      <c r="C29" s="24"/>
      <c r="M29" s="25"/>
    </row>
    <row r="30" spans="1:22" x14ac:dyDescent="0.3">
      <c r="C30" s="24"/>
      <c r="M30" s="25"/>
    </row>
    <row r="31" spans="1:22" x14ac:dyDescent="0.3">
      <c r="C31" s="24"/>
      <c r="E31" s="24"/>
      <c r="M31" s="25"/>
    </row>
    <row r="32" spans="1:22" x14ac:dyDescent="0.3">
      <c r="C32" s="24"/>
      <c r="E32" s="24"/>
      <c r="M32" s="25"/>
    </row>
    <row r="33" spans="3:13" x14ac:dyDescent="0.3">
      <c r="C33" s="24"/>
      <c r="E33" s="24"/>
      <c r="M33" s="25"/>
    </row>
    <row r="34" spans="3:13" x14ac:dyDescent="0.3">
      <c r="C34" s="24"/>
      <c r="E34" s="24"/>
      <c r="M34" s="25"/>
    </row>
    <row r="35" spans="3:13" x14ac:dyDescent="0.3">
      <c r="C35" s="24"/>
      <c r="E35" s="24"/>
      <c r="M35" s="25"/>
    </row>
    <row r="36" spans="3:13" x14ac:dyDescent="0.3">
      <c r="C36" s="24"/>
      <c r="E36" s="24"/>
      <c r="M36" s="25"/>
    </row>
    <row r="37" spans="3:13" x14ac:dyDescent="0.3">
      <c r="C37" s="24"/>
      <c r="E37" s="24"/>
      <c r="M37" s="25"/>
    </row>
    <row r="38" spans="3:13" x14ac:dyDescent="0.3">
      <c r="C38" s="24"/>
      <c r="E38" s="24"/>
      <c r="M38" s="25"/>
    </row>
    <row r="39" spans="3:13" x14ac:dyDescent="0.3">
      <c r="C39" s="24"/>
      <c r="E39" s="24"/>
      <c r="M39" s="25"/>
    </row>
    <row r="40" spans="3:13" x14ac:dyDescent="0.3">
      <c r="C40" s="24"/>
      <c r="E40" s="24"/>
      <c r="M40" s="25"/>
    </row>
    <row r="41" spans="3:13" x14ac:dyDescent="0.3">
      <c r="C41" s="24"/>
      <c r="E41" s="24"/>
      <c r="M41" s="25"/>
    </row>
    <row r="42" spans="3:13" x14ac:dyDescent="0.3">
      <c r="C42" s="24"/>
      <c r="E42" s="24"/>
      <c r="M42" s="25"/>
    </row>
    <row r="43" spans="3:13" x14ac:dyDescent="0.3">
      <c r="C43" s="24"/>
      <c r="E43" s="24"/>
      <c r="M43" s="25"/>
    </row>
    <row r="44" spans="3:13" x14ac:dyDescent="0.3">
      <c r="C44" s="24"/>
      <c r="E44" s="24"/>
      <c r="M44" s="25"/>
    </row>
    <row r="45" spans="3:13" x14ac:dyDescent="0.3">
      <c r="C45" s="24"/>
      <c r="E45" s="24"/>
      <c r="M45" s="25"/>
    </row>
    <row r="46" spans="3:13" x14ac:dyDescent="0.3">
      <c r="C46" s="24"/>
      <c r="E46" s="24"/>
      <c r="M46" s="25"/>
    </row>
    <row r="47" spans="3:13" x14ac:dyDescent="0.3">
      <c r="E47" s="24"/>
      <c r="M47" s="25"/>
    </row>
    <row r="48" spans="3:13" x14ac:dyDescent="0.3">
      <c r="E48" s="24"/>
      <c r="M48" s="25"/>
    </row>
    <row r="49" spans="5:5" x14ac:dyDescent="0.3">
      <c r="E49" s="24"/>
    </row>
    <row r="50" spans="5:5" x14ac:dyDescent="0.3">
      <c r="E50" s="24"/>
    </row>
    <row r="51" spans="5:5" x14ac:dyDescent="0.3">
      <c r="E51" s="24"/>
    </row>
    <row r="52" spans="5:5" x14ac:dyDescent="0.3">
      <c r="E52" s="24"/>
    </row>
  </sheetData>
  <phoneticPr fontId="9" type="noConversion"/>
  <pageMargins left="0.7" right="0.7" top="0.75" bottom="0.75" header="0.3" footer="0.3"/>
  <pageSetup paperSize="9" orientation="portrait" horizontalDpi="360" verticalDpi="36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3:H9"/>
  <sheetViews>
    <sheetView zoomScaleNormal="100" workbookViewId="0">
      <selection activeCell="C8" sqref="C8"/>
    </sheetView>
  </sheetViews>
  <sheetFormatPr baseColWidth="10" defaultRowHeight="14.4" x14ac:dyDescent="0.3"/>
  <cols>
    <col min="2" max="2" width="19.33203125" bestFit="1" customWidth="1"/>
    <col min="4" max="4" width="25.109375" bestFit="1" customWidth="1"/>
    <col min="6" max="6" width="13" bestFit="1" customWidth="1"/>
    <col min="8" max="8" width="24" bestFit="1" customWidth="1"/>
  </cols>
  <sheetData>
    <row r="3" spans="2:8" ht="15" thickBot="1" x14ac:dyDescent="0.35"/>
    <row r="4" spans="2:8" ht="49.5" customHeight="1" thickBot="1" x14ac:dyDescent="0.35">
      <c r="B4" s="7" t="s">
        <v>22</v>
      </c>
      <c r="C4" s="5"/>
      <c r="D4" s="9" t="s">
        <v>23</v>
      </c>
      <c r="E4" s="5"/>
      <c r="F4" s="11" t="s">
        <v>18</v>
      </c>
      <c r="G4" s="5"/>
      <c r="H4" s="11" t="s">
        <v>24</v>
      </c>
    </row>
    <row r="5" spans="2:8" ht="49.5" customHeight="1" thickBot="1" x14ac:dyDescent="0.35">
      <c r="B5" s="12" t="s">
        <v>28</v>
      </c>
      <c r="C5" s="8"/>
      <c r="D5" s="13" t="s">
        <v>25</v>
      </c>
      <c r="E5" s="8"/>
      <c r="F5" s="10" t="s">
        <v>26</v>
      </c>
      <c r="G5" s="8"/>
      <c r="H5" s="13" t="s">
        <v>27</v>
      </c>
    </row>
    <row r="6" spans="2:8" ht="49.5" customHeight="1" thickBot="1" x14ac:dyDescent="0.35">
      <c r="B6" s="12" t="s">
        <v>32</v>
      </c>
      <c r="C6" s="8"/>
      <c r="D6" s="10" t="s">
        <v>29</v>
      </c>
      <c r="E6" s="8"/>
      <c r="F6" s="13" t="s">
        <v>30</v>
      </c>
      <c r="G6" s="8"/>
      <c r="H6" s="13" t="s">
        <v>31</v>
      </c>
    </row>
    <row r="7" spans="2:8" ht="49.5" customHeight="1" thickBot="1" x14ac:dyDescent="0.35">
      <c r="B7" s="19" t="s">
        <v>36</v>
      </c>
      <c r="C7" s="8"/>
      <c r="D7" s="13" t="s">
        <v>33</v>
      </c>
      <c r="E7" s="8"/>
      <c r="F7" s="8" t="s">
        <v>34</v>
      </c>
      <c r="G7" s="8"/>
      <c r="H7" s="8" t="s">
        <v>35</v>
      </c>
    </row>
    <row r="8" spans="2:8" ht="49.5" customHeight="1" thickBot="1" x14ac:dyDescent="0.35">
      <c r="B8" s="12" t="s">
        <v>120</v>
      </c>
      <c r="C8" s="8"/>
      <c r="D8" s="8" t="s">
        <v>37</v>
      </c>
      <c r="E8" s="8"/>
      <c r="F8" s="8"/>
      <c r="G8" s="8"/>
      <c r="H8" s="8"/>
    </row>
    <row r="9" spans="2:8" ht="16.2" thickBot="1" x14ac:dyDescent="0.35">
      <c r="B9" s="12" t="s">
        <v>38</v>
      </c>
      <c r="C9" s="6"/>
      <c r="D9" s="6"/>
      <c r="E9" s="6"/>
      <c r="F9" s="6"/>
      <c r="G9" s="6"/>
      <c r="H9" s="6"/>
    </row>
  </sheetData>
  <pageMargins left="0.7" right="0.7" top="0.75" bottom="0.75" header="0.3" footer="0.3"/>
  <pageSetup paperSize="9" orientation="portrait" horizontalDpi="0" verticalDpi="0"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5:C23"/>
  <sheetViews>
    <sheetView workbookViewId="0">
      <selection activeCell="B10" sqref="B10"/>
    </sheetView>
  </sheetViews>
  <sheetFormatPr baseColWidth="10" defaultRowHeight="14.4" x14ac:dyDescent="0.3"/>
  <cols>
    <col min="2" max="2" width="36" bestFit="1" customWidth="1"/>
    <col min="3" max="3" width="15" bestFit="1" customWidth="1"/>
  </cols>
  <sheetData>
    <row r="5" spans="2:3" x14ac:dyDescent="0.3">
      <c r="B5" s="14"/>
      <c r="C5" s="14"/>
    </row>
    <row r="6" spans="2:3" ht="20.399999999999999" x14ac:dyDescent="0.3">
      <c r="B6" s="15" t="s">
        <v>39</v>
      </c>
      <c r="C6" s="14"/>
    </row>
    <row r="7" spans="2:3" ht="59.4" x14ac:dyDescent="0.3">
      <c r="B7" s="16">
        <f>MAX(CODIGO[COLUMNA])</f>
        <v>1</v>
      </c>
      <c r="C7" s="14"/>
    </row>
    <row r="8" spans="2:3" x14ac:dyDescent="0.3">
      <c r="B8" s="14"/>
      <c r="C8" s="14"/>
    </row>
    <row r="9" spans="2:3" x14ac:dyDescent="0.3">
      <c r="B9" s="17" t="s">
        <v>40</v>
      </c>
      <c r="C9" s="17" t="s">
        <v>41</v>
      </c>
    </row>
    <row r="10" spans="2:3" x14ac:dyDescent="0.3">
      <c r="B10" s="18" t="s">
        <v>42</v>
      </c>
      <c r="C10" s="18">
        <f>_xlfn.NUMBERVALUE(MID(B10,FIND("_",B10,9)+1,4))</f>
        <v>1</v>
      </c>
    </row>
    <row r="11" spans="2:3" x14ac:dyDescent="0.3">
      <c r="B11" s="18"/>
      <c r="C11" s="18"/>
    </row>
    <row r="12" spans="2:3" x14ac:dyDescent="0.3">
      <c r="B12" s="18"/>
      <c r="C12" s="18"/>
    </row>
    <row r="13" spans="2:3" x14ac:dyDescent="0.3">
      <c r="B13" s="18"/>
      <c r="C13" s="18"/>
    </row>
    <row r="14" spans="2:3" x14ac:dyDescent="0.3">
      <c r="B14" s="18"/>
      <c r="C14" s="18"/>
    </row>
    <row r="15" spans="2:3" x14ac:dyDescent="0.3">
      <c r="B15" s="18"/>
      <c r="C15" s="18"/>
    </row>
    <row r="16" spans="2:3" x14ac:dyDescent="0.3">
      <c r="B16" s="18"/>
      <c r="C16" s="18"/>
    </row>
    <row r="17" spans="2:3" x14ac:dyDescent="0.3">
      <c r="B17" s="18"/>
      <c r="C17" s="18"/>
    </row>
    <row r="18" spans="2:3" x14ac:dyDescent="0.3">
      <c r="B18" s="18"/>
      <c r="C18" s="18"/>
    </row>
    <row r="19" spans="2:3" x14ac:dyDescent="0.3">
      <c r="B19" s="18"/>
      <c r="C19" s="18"/>
    </row>
    <row r="20" spans="2:3" x14ac:dyDescent="0.3">
      <c r="B20" s="18"/>
      <c r="C20" s="18"/>
    </row>
    <row r="21" spans="2:3" x14ac:dyDescent="0.3">
      <c r="B21" s="18"/>
      <c r="C21" s="18"/>
    </row>
    <row r="22" spans="2:3" x14ac:dyDescent="0.3">
      <c r="B22" s="18"/>
      <c r="C22" s="18"/>
    </row>
    <row r="23" spans="2:3" x14ac:dyDescent="0.3">
      <c r="B23" s="18"/>
      <c r="C23" s="18"/>
    </row>
  </sheetData>
  <phoneticPr fontId="9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INICIO</vt:lpstr>
      <vt:lpstr>BD</vt:lpstr>
      <vt:lpstr>TABLAS</vt:lpstr>
      <vt:lpstr>CODIGO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STAYLER</dc:creator>
  <cp:lastModifiedBy>Saquinga Chango Kevin Alexander</cp:lastModifiedBy>
  <dcterms:created xsi:type="dcterms:W3CDTF">2021-01-29T16:05:49Z</dcterms:created>
  <dcterms:modified xsi:type="dcterms:W3CDTF">2023-04-14T03:22:50Z</dcterms:modified>
</cp:coreProperties>
</file>